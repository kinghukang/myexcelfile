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00f5c0c1bdfd00/Desktop/"/>
    </mc:Choice>
  </mc:AlternateContent>
  <xr:revisionPtr revIDLastSave="0" documentId="8_{55FAEDB2-EB5D-4C14-B99D-10FA757CF73F}" xr6:coauthVersionLast="47" xr6:coauthVersionMax="47" xr10:uidLastSave="{00000000-0000-0000-0000-000000000000}"/>
  <bookViews>
    <workbookView xWindow="-120" yWindow="-120" windowWidth="29040" windowHeight="15720" xr2:uid="{F22F9D10-7991-4697-A491-6A91DD8C962B}"/>
  </bookViews>
  <sheets>
    <sheet name="sample-data" sheetId="1" r:id="rId1"/>
    <sheet name="dashboard questions" sheetId="2" r:id="rId2"/>
  </sheets>
  <definedNames>
    <definedName name="_xlnm._FilterDatabase" localSheetId="0" hidden="1">'sample-data'!$A$1:$J$64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4" i="1" l="1"/>
  <c r="B61" i="1"/>
</calcChain>
</file>

<file path=xl/sharedStrings.xml><?xml version="1.0" encoding="utf-8"?>
<sst xmlns="http://schemas.openxmlformats.org/spreadsheetml/2006/main" count="370" uniqueCount="119">
  <si>
    <t>ID</t>
  </si>
  <si>
    <t>Employee Name</t>
  </si>
  <si>
    <t>Department</t>
  </si>
  <si>
    <t>Region</t>
  </si>
  <si>
    <t>Product</t>
  </si>
  <si>
    <t>Quantity</t>
  </si>
  <si>
    <t>Unit Price</t>
  </si>
  <si>
    <t>Total Sales</t>
  </si>
  <si>
    <t>Rating</t>
  </si>
  <si>
    <t>Month</t>
  </si>
  <si>
    <t>Rahul Singh</t>
  </si>
  <si>
    <t>Sales</t>
  </si>
  <si>
    <t>East</t>
  </si>
  <si>
    <t>Laptop</t>
  </si>
  <si>
    <t>A</t>
  </si>
  <si>
    <t>Jan</t>
  </si>
  <si>
    <t>Priya Das</t>
  </si>
  <si>
    <t>HR</t>
  </si>
  <si>
    <t>West</t>
  </si>
  <si>
    <t>-</t>
  </si>
  <si>
    <t>B</t>
  </si>
  <si>
    <t>Arjun Roy</t>
  </si>
  <si>
    <t>Marketing</t>
  </si>
  <si>
    <t>North</t>
  </si>
  <si>
    <t>Mobile</t>
  </si>
  <si>
    <t>Feb</t>
  </si>
  <si>
    <t>Neha Sharma</t>
  </si>
  <si>
    <t>South</t>
  </si>
  <si>
    <t>Tablet</t>
  </si>
  <si>
    <t>Rohan Sen</t>
  </si>
  <si>
    <t>IT</t>
  </si>
  <si>
    <t>Server</t>
  </si>
  <si>
    <t>C</t>
  </si>
  <si>
    <t>Mar</t>
  </si>
  <si>
    <t>Sneha Gupta</t>
  </si>
  <si>
    <t>Aman Yadav</t>
  </si>
  <si>
    <t>Apr</t>
  </si>
  <si>
    <t>Divya Mehta</t>
  </si>
  <si>
    <t>Kunal Roy</t>
  </si>
  <si>
    <t>May</t>
  </si>
  <si>
    <t>Sita Paul</t>
  </si>
  <si>
    <t>Abhishek Jain</t>
  </si>
  <si>
    <t>Jun</t>
  </si>
  <si>
    <t>Tina Bose</t>
  </si>
  <si>
    <t>Ravi Kumar</t>
  </si>
  <si>
    <t>Jul</t>
  </si>
  <si>
    <t>Manish Das</t>
  </si>
  <si>
    <t>Reema Patil</t>
  </si>
  <si>
    <t>Aug</t>
  </si>
  <si>
    <t>Arnav Sen</t>
  </si>
  <si>
    <t>Anjali Rao</t>
  </si>
  <si>
    <t>Sep</t>
  </si>
  <si>
    <t>Ritu Saha</t>
  </si>
  <si>
    <t>Suman Das</t>
  </si>
  <si>
    <t>Oct</t>
  </si>
  <si>
    <t>Amit Paul</t>
  </si>
  <si>
    <t>Meera Nair</t>
  </si>
  <si>
    <t>Nov</t>
  </si>
  <si>
    <t>Rajesh Kumar</t>
  </si>
  <si>
    <t>Pooja Verma</t>
  </si>
  <si>
    <t>Dec</t>
  </si>
  <si>
    <t>Dev Sharma</t>
  </si>
  <si>
    <t>Isha Jain</t>
  </si>
  <si>
    <t>Aditya Bose</t>
  </si>
  <si>
    <t>Kavita Sen</t>
  </si>
  <si>
    <t>Rohit Sinha</t>
  </si>
  <si>
    <t>Tanya Paul</t>
  </si>
  <si>
    <t>Deepak Roy</t>
  </si>
  <si>
    <t>Nisha Gupta</t>
  </si>
  <si>
    <t>Arpit Shah</t>
  </si>
  <si>
    <t>Snehal Patra</t>
  </si>
  <si>
    <t>Bhavesh Sen</t>
  </si>
  <si>
    <t>Tanuja Rani</t>
  </si>
  <si>
    <t>Ravi Patel</t>
  </si>
  <si>
    <t>Aarav Mehta</t>
  </si>
  <si>
    <t>Priti Sen</t>
  </si>
  <si>
    <t>Ishaan Roy</t>
  </si>
  <si>
    <t>Sneha Das</t>
  </si>
  <si>
    <t>Rohit Jain</t>
  </si>
  <si>
    <t>Priya Ghosh</t>
  </si>
  <si>
    <t>Tushar Roy</t>
  </si>
  <si>
    <t>Ananya Saha</t>
  </si>
  <si>
    <t>Arjun Sharma</t>
  </si>
  <si>
    <t>Kiran Das</t>
  </si>
  <si>
    <t>Neelam Gupta</t>
  </si>
  <si>
    <t>Manav Sen</t>
  </si>
  <si>
    <t>Sonali Das</t>
  </si>
  <si>
    <t>Abir Paul</t>
  </si>
  <si>
    <t>Practice Questions</t>
  </si>
  <si>
    <t>🔹 SUMIF Practice</t>
  </si>
  <si>
    <r>
      <t xml:space="preserve">1. Total sales made by </t>
    </r>
    <r>
      <rPr>
        <b/>
        <sz val="11"/>
        <color theme="1"/>
        <rFont val="Calibri"/>
        <family val="2"/>
        <scheme val="minor"/>
      </rPr>
      <t>Sales department</t>
    </r>
    <r>
      <rPr>
        <sz val="11"/>
        <color theme="1"/>
        <rFont val="Calibri"/>
        <family val="2"/>
        <scheme val="minor"/>
      </rPr>
      <t>.</t>
    </r>
  </si>
  <si>
    <r>
      <t xml:space="preserve">2. Total sales for </t>
    </r>
    <r>
      <rPr>
        <b/>
        <sz val="11"/>
        <color theme="1"/>
        <rFont val="Calibri"/>
        <family val="2"/>
        <scheme val="minor"/>
      </rPr>
      <t>East region</t>
    </r>
    <r>
      <rPr>
        <sz val="11"/>
        <color theme="1"/>
        <rFont val="Calibri"/>
        <family val="2"/>
        <scheme val="minor"/>
      </rPr>
      <t>.</t>
    </r>
  </si>
  <si>
    <r>
      <t xml:space="preserve">3. Total </t>
    </r>
    <r>
      <rPr>
        <b/>
        <sz val="11"/>
        <color theme="1"/>
        <rFont val="Calibri"/>
        <family val="2"/>
        <scheme val="minor"/>
      </rPr>
      <t>Laptop</t>
    </r>
    <r>
      <rPr>
        <sz val="11"/>
        <color theme="1"/>
        <rFont val="Calibri"/>
        <family val="2"/>
        <scheme val="minor"/>
      </rPr>
      <t xml:space="preserve"> sales across all regions.</t>
    </r>
  </si>
  <si>
    <r>
      <t xml:space="preserve">4. Total sales in </t>
    </r>
    <r>
      <rPr>
        <b/>
        <sz val="11"/>
        <color theme="1"/>
        <rFont val="Calibri"/>
        <family val="2"/>
        <scheme val="minor"/>
      </rPr>
      <t>January</t>
    </r>
    <r>
      <rPr>
        <sz val="11"/>
        <color theme="1"/>
        <rFont val="Calibri"/>
        <family val="2"/>
        <scheme val="minor"/>
      </rPr>
      <t xml:space="preserve"> only.</t>
    </r>
  </si>
  <si>
    <r>
      <t xml:space="preserve">5. Total sales by employees with rating 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.</t>
    </r>
  </si>
  <si>
    <t>🔹 COUNTIF Practice</t>
  </si>
  <si>
    <r>
      <t xml:space="preserve">6. Count of employees in </t>
    </r>
    <r>
      <rPr>
        <b/>
        <sz val="11"/>
        <color theme="1"/>
        <rFont val="Calibri"/>
        <family val="2"/>
        <scheme val="minor"/>
      </rPr>
      <t>Sales department</t>
    </r>
    <r>
      <rPr>
        <sz val="11"/>
        <color theme="1"/>
        <rFont val="Calibri"/>
        <family val="2"/>
        <scheme val="minor"/>
      </rPr>
      <t>.</t>
    </r>
  </si>
  <si>
    <r>
      <t xml:space="preserve">7. Number of employees from </t>
    </r>
    <r>
      <rPr>
        <b/>
        <sz val="11"/>
        <color theme="1"/>
        <rFont val="Calibri"/>
        <family val="2"/>
        <scheme val="minor"/>
      </rPr>
      <t>East region</t>
    </r>
    <r>
      <rPr>
        <sz val="11"/>
        <color theme="1"/>
        <rFont val="Calibri"/>
        <family val="2"/>
        <scheme val="minor"/>
      </rPr>
      <t>.</t>
    </r>
  </si>
  <si>
    <r>
      <t xml:space="preserve">8. Count how many employees sold </t>
    </r>
    <r>
      <rPr>
        <b/>
        <sz val="11"/>
        <color theme="1"/>
        <rFont val="Calibri"/>
        <family val="2"/>
        <scheme val="minor"/>
      </rPr>
      <t>Tablet</t>
    </r>
    <r>
      <rPr>
        <sz val="11"/>
        <color theme="1"/>
        <rFont val="Calibri"/>
        <family val="2"/>
        <scheme val="minor"/>
      </rPr>
      <t>.</t>
    </r>
  </si>
  <si>
    <r>
      <t xml:space="preserve">9. How many employees got rating 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.</t>
    </r>
  </si>
  <si>
    <r>
      <t xml:space="preserve">10. Count how many transactions have </t>
    </r>
    <r>
      <rPr>
        <b/>
        <sz val="11"/>
        <color theme="1"/>
        <rFont val="Calibri"/>
        <family val="2"/>
        <scheme val="minor"/>
      </rPr>
      <t>Total Sales &gt; 250000</t>
    </r>
    <r>
      <rPr>
        <sz val="11"/>
        <color theme="1"/>
        <rFont val="Calibri"/>
        <family val="2"/>
        <scheme val="minor"/>
      </rPr>
      <t>.</t>
    </r>
  </si>
  <si>
    <t>🔹 Nested IF Practice</t>
  </si>
  <si>
    <t>11. Create a formula:</t>
  </si>
  <si>
    <t>If Rating = A → “Excellent”</t>
  </si>
  <si>
    <t>If Rating = B → “Good”</t>
  </si>
  <si>
    <t>If Rating = C → “Needs Improvement”</t>
  </si>
  <si>
    <t>12. If Total Sales &gt; 300000 → “High Performer”, else if &gt; 150000 → “Medium”, else “Low”.</t>
  </si>
  <si>
    <t>13. If Department = “HR”, show “Non-Sales”, otherwise “Sales Team”.</t>
  </si>
  <si>
    <t>14. If Region = “East” and Rating = “A” → “Top East Performer”, else “Others”.</t>
  </si>
  <si>
    <t>15. If Month = “Jan” or “Feb”, return “Q1”, else if “Mar”, “Apr”, “May”, return “Q2”, etc.</t>
  </si>
  <si>
    <t>🔹 Combo Practice</t>
  </si>
  <si>
    <r>
      <t xml:space="preserve">16. Use </t>
    </r>
    <r>
      <rPr>
        <sz val="10"/>
        <color theme="1"/>
        <rFont val="Arial Unicode MS"/>
      </rPr>
      <t>SUMIFS</t>
    </r>
    <r>
      <rPr>
        <sz val="11"/>
        <color theme="1"/>
        <rFont val="Calibri"/>
        <family val="2"/>
        <scheme val="minor"/>
      </rPr>
      <t xml:space="preserve"> to calculate total sales for </t>
    </r>
    <r>
      <rPr>
        <b/>
        <sz val="11"/>
        <color theme="1"/>
        <rFont val="Calibri"/>
        <family val="2"/>
        <scheme val="minor"/>
      </rPr>
      <t>Laptop in East region</t>
    </r>
    <r>
      <rPr>
        <sz val="11"/>
        <color theme="1"/>
        <rFont val="Calibri"/>
        <family val="2"/>
        <scheme val="minor"/>
      </rPr>
      <t>.</t>
    </r>
  </si>
  <si>
    <r>
      <t xml:space="preserve">17. Use </t>
    </r>
    <r>
      <rPr>
        <sz val="10"/>
        <color theme="1"/>
        <rFont val="Arial Unicode MS"/>
      </rPr>
      <t>COUNTIFS</t>
    </r>
    <r>
      <rPr>
        <sz val="11"/>
        <color theme="1"/>
        <rFont val="Calibri"/>
        <family val="2"/>
        <scheme val="minor"/>
      </rPr>
      <t xml:space="preserve"> to count </t>
    </r>
    <r>
      <rPr>
        <b/>
        <sz val="11"/>
        <color theme="1"/>
        <rFont val="Calibri"/>
        <family val="2"/>
        <scheme val="minor"/>
      </rPr>
      <t>Sales department with Rating A</t>
    </r>
    <r>
      <rPr>
        <sz val="11"/>
        <color theme="1"/>
        <rFont val="Calibri"/>
        <family val="2"/>
        <scheme val="minor"/>
      </rPr>
      <t>.</t>
    </r>
  </si>
  <si>
    <r>
      <t xml:space="preserve">18. Find </t>
    </r>
    <r>
      <rPr>
        <b/>
        <sz val="11"/>
        <color theme="1"/>
        <rFont val="Calibri"/>
        <family val="2"/>
        <scheme val="minor"/>
      </rPr>
      <t>average Total Sales</t>
    </r>
    <r>
      <rPr>
        <sz val="11"/>
        <color theme="1"/>
        <rFont val="Calibri"/>
        <family val="2"/>
        <scheme val="minor"/>
      </rPr>
      <t xml:space="preserve"> for employees in </t>
    </r>
    <r>
      <rPr>
        <b/>
        <sz val="11"/>
        <color theme="1"/>
        <rFont val="Calibri"/>
        <family val="2"/>
        <scheme val="minor"/>
      </rPr>
      <t>IT department</t>
    </r>
    <r>
      <rPr>
        <sz val="11"/>
        <color theme="1"/>
        <rFont val="Calibri"/>
        <family val="2"/>
        <scheme val="minor"/>
      </rPr>
      <t>.</t>
    </r>
  </si>
  <si>
    <r>
      <t xml:space="preserve">19. Find </t>
    </r>
    <r>
      <rPr>
        <b/>
        <sz val="11"/>
        <color theme="1"/>
        <rFont val="Calibri"/>
        <family val="2"/>
        <scheme val="minor"/>
      </rPr>
      <t>highest Total Sales</t>
    </r>
    <r>
      <rPr>
        <sz val="11"/>
        <color theme="1"/>
        <rFont val="Calibri"/>
        <family val="2"/>
        <scheme val="minor"/>
      </rPr>
      <t xml:space="preserve"> made in </t>
    </r>
    <r>
      <rPr>
        <b/>
        <sz val="11"/>
        <color theme="1"/>
        <rFont val="Calibri"/>
        <family val="2"/>
        <scheme val="minor"/>
      </rPr>
      <t>any month</t>
    </r>
    <r>
      <rPr>
        <sz val="11"/>
        <color theme="1"/>
        <rFont val="Calibri"/>
        <family val="2"/>
        <scheme val="minor"/>
      </rPr>
      <t xml:space="preserve"> using </t>
    </r>
    <r>
      <rPr>
        <sz val="10"/>
        <color theme="1"/>
        <rFont val="Arial Unicode MS"/>
      </rPr>
      <t>MAX</t>
    </r>
    <r>
      <rPr>
        <sz val="11"/>
        <color theme="1"/>
        <rFont val="Calibri"/>
        <family val="2"/>
        <scheme val="minor"/>
      </rPr>
      <t>.</t>
    </r>
  </si>
  <si>
    <t>20. Use a nested IF to categorize Total Sales into:</t>
  </si>
  <si>
    <t>Above 350000 → “Outstanding”</t>
  </si>
  <si>
    <t>Between 200000–350000 → “Good”</t>
  </si>
  <si>
    <t>Below 200000 → “Average”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</si>
</sst>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6951-FECE-4A68-9A90-31A107ADEF8E}">
  <dimension ref="A1:M64"/>
  <sheetViews>
    <sheetView tabSelected="1" workbookViewId="0">
      <selection activeCell="H1" sqref="H1"/>
    </sheetView>
  </sheetViews>
  <sheetFormatPr defaultRowHeight="15"/>
  <cols>
    <col min="2" max="2" width="18.5703125" customWidth="1"/>
    <col min="3" max="3" width="16.5703125" customWidth="1"/>
    <col min="4" max="4" width="15" customWidth="1"/>
    <col min="6" max="6" width="8.5703125" customWidth="1"/>
    <col min="7" max="7" width="14.5703125" customWidth="1"/>
    <col min="8" max="8" width="15.7109375" customWidth="1"/>
    <col min="9" max="9" width="12" customWidth="1"/>
    <col min="10" max="10" width="19.5703125" customWidth="1"/>
    <col min="13" max="13" width="52.85546875" customWidth="1"/>
  </cols>
  <sheetData>
    <row r="1" spans="1:13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5</v>
      </c>
      <c r="G2" s="2">
        <v>55000</v>
      </c>
      <c r="H2" s="2">
        <v>275000</v>
      </c>
      <c r="I2" s="2" t="s">
        <v>14</v>
      </c>
      <c r="J2" s="2" t="s">
        <v>15</v>
      </c>
    </row>
    <row r="3" spans="1:13" ht="18">
      <c r="A3" s="2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19</v>
      </c>
      <c r="G3" s="2" t="s">
        <v>19</v>
      </c>
      <c r="H3" s="2" t="s">
        <v>19</v>
      </c>
      <c r="I3" s="2" t="s">
        <v>20</v>
      </c>
      <c r="J3" s="2" t="s">
        <v>15</v>
      </c>
      <c r="M3" s="3" t="s">
        <v>88</v>
      </c>
    </row>
    <row r="4" spans="1:13">
      <c r="A4" s="2">
        <v>3</v>
      </c>
      <c r="B4" s="2" t="s">
        <v>21</v>
      </c>
      <c r="C4" s="2" t="s">
        <v>22</v>
      </c>
      <c r="D4" s="2" t="s">
        <v>23</v>
      </c>
      <c r="E4" s="2" t="s">
        <v>24</v>
      </c>
      <c r="F4" s="2">
        <v>15</v>
      </c>
      <c r="G4" s="2">
        <v>12000</v>
      </c>
      <c r="H4" s="2">
        <v>180000</v>
      </c>
      <c r="I4" s="2" t="s">
        <v>14</v>
      </c>
      <c r="J4" s="2" t="s">
        <v>25</v>
      </c>
    </row>
    <row r="5" spans="1:13" ht="15.75">
      <c r="A5" s="2">
        <v>4</v>
      </c>
      <c r="B5" s="2" t="s">
        <v>26</v>
      </c>
      <c r="C5" s="2" t="s">
        <v>11</v>
      </c>
      <c r="D5" s="2" t="s">
        <v>27</v>
      </c>
      <c r="E5" s="2" t="s">
        <v>28</v>
      </c>
      <c r="F5" s="2">
        <v>8</v>
      </c>
      <c r="G5" s="2">
        <v>25000</v>
      </c>
      <c r="H5" s="2">
        <v>200000</v>
      </c>
      <c r="I5" s="2" t="s">
        <v>20</v>
      </c>
      <c r="J5" s="2" t="s">
        <v>25</v>
      </c>
      <c r="M5" s="4" t="s">
        <v>89</v>
      </c>
    </row>
    <row r="6" spans="1:13">
      <c r="A6" s="2">
        <v>5</v>
      </c>
      <c r="B6" s="2" t="s">
        <v>29</v>
      </c>
      <c r="C6" s="2" t="s">
        <v>30</v>
      </c>
      <c r="D6" s="2" t="s">
        <v>12</v>
      </c>
      <c r="E6" s="2" t="s">
        <v>31</v>
      </c>
      <c r="F6" s="2">
        <v>3</v>
      </c>
      <c r="G6" s="2">
        <v>85000</v>
      </c>
      <c r="H6" s="2">
        <v>255000</v>
      </c>
      <c r="I6" s="2" t="s">
        <v>32</v>
      </c>
      <c r="J6" s="2" t="s">
        <v>33</v>
      </c>
      <c r="M6" s="5"/>
    </row>
    <row r="7" spans="1:13">
      <c r="A7" s="2">
        <v>6</v>
      </c>
      <c r="B7" s="2" t="s">
        <v>34</v>
      </c>
      <c r="C7" s="2" t="s">
        <v>11</v>
      </c>
      <c r="D7" s="2" t="s">
        <v>18</v>
      </c>
      <c r="E7" s="2" t="s">
        <v>13</v>
      </c>
      <c r="F7" s="2">
        <v>6</v>
      </c>
      <c r="G7" s="2">
        <v>55000</v>
      </c>
      <c r="H7" s="2">
        <v>330000</v>
      </c>
      <c r="I7" s="2" t="s">
        <v>14</v>
      </c>
      <c r="J7" s="2" t="s">
        <v>33</v>
      </c>
      <c r="M7" s="5" t="s">
        <v>90</v>
      </c>
    </row>
    <row r="8" spans="1:13">
      <c r="A8" s="2">
        <v>7</v>
      </c>
      <c r="B8" s="2" t="s">
        <v>35</v>
      </c>
      <c r="C8" s="2" t="s">
        <v>22</v>
      </c>
      <c r="D8" s="2" t="s">
        <v>12</v>
      </c>
      <c r="E8" s="2" t="s">
        <v>24</v>
      </c>
      <c r="F8" s="2">
        <v>12</v>
      </c>
      <c r="G8" s="2">
        <v>15000</v>
      </c>
      <c r="H8" s="2">
        <v>180000</v>
      </c>
      <c r="I8" s="2" t="s">
        <v>20</v>
      </c>
      <c r="J8" s="2" t="s">
        <v>36</v>
      </c>
      <c r="M8" s="5"/>
    </row>
    <row r="9" spans="1:13">
      <c r="A9" s="2">
        <v>8</v>
      </c>
      <c r="B9" s="2" t="s">
        <v>37</v>
      </c>
      <c r="C9" s="2" t="s">
        <v>17</v>
      </c>
      <c r="D9" s="2" t="s">
        <v>23</v>
      </c>
      <c r="E9" s="2" t="s">
        <v>19</v>
      </c>
      <c r="F9" s="2" t="s">
        <v>19</v>
      </c>
      <c r="G9" s="2" t="s">
        <v>19</v>
      </c>
      <c r="H9" s="2" t="s">
        <v>19</v>
      </c>
      <c r="I9" s="2" t="s">
        <v>14</v>
      </c>
      <c r="J9" s="2" t="s">
        <v>36</v>
      </c>
      <c r="M9" s="5" t="s">
        <v>91</v>
      </c>
    </row>
    <row r="10" spans="1:13">
      <c r="A10" s="2">
        <v>9</v>
      </c>
      <c r="B10" s="2" t="s">
        <v>38</v>
      </c>
      <c r="C10" s="2" t="s">
        <v>11</v>
      </c>
      <c r="D10" s="2" t="s">
        <v>23</v>
      </c>
      <c r="E10" s="2" t="s">
        <v>28</v>
      </c>
      <c r="F10" s="2">
        <v>10</v>
      </c>
      <c r="G10" s="2">
        <v>23000</v>
      </c>
      <c r="H10" s="2">
        <v>230000</v>
      </c>
      <c r="I10" s="2" t="s">
        <v>32</v>
      </c>
      <c r="J10" s="2" t="s">
        <v>39</v>
      </c>
      <c r="M10" s="5"/>
    </row>
    <row r="11" spans="1:13">
      <c r="A11" s="2">
        <v>10</v>
      </c>
      <c r="B11" s="2" t="s">
        <v>40</v>
      </c>
      <c r="C11" s="2" t="s">
        <v>30</v>
      </c>
      <c r="D11" s="2" t="s">
        <v>18</v>
      </c>
      <c r="E11" s="2" t="s">
        <v>31</v>
      </c>
      <c r="F11" s="2">
        <v>4</v>
      </c>
      <c r="G11" s="2">
        <v>90000</v>
      </c>
      <c r="H11" s="2">
        <v>360000</v>
      </c>
      <c r="I11" s="2" t="s">
        <v>20</v>
      </c>
      <c r="J11" s="2" t="s">
        <v>39</v>
      </c>
      <c r="M11" s="5" t="s">
        <v>92</v>
      </c>
    </row>
    <row r="12" spans="1:13">
      <c r="A12" s="2">
        <v>11</v>
      </c>
      <c r="B12" s="2" t="s">
        <v>41</v>
      </c>
      <c r="C12" s="2" t="s">
        <v>11</v>
      </c>
      <c r="D12" s="2" t="s">
        <v>12</v>
      </c>
      <c r="E12" s="2" t="s">
        <v>13</v>
      </c>
      <c r="F12" s="2">
        <v>7</v>
      </c>
      <c r="G12" s="2">
        <v>52000</v>
      </c>
      <c r="H12" s="2">
        <v>364000</v>
      </c>
      <c r="I12" s="2" t="s">
        <v>14</v>
      </c>
      <c r="J12" s="2" t="s">
        <v>42</v>
      </c>
      <c r="M12" s="5"/>
    </row>
    <row r="13" spans="1:13">
      <c r="A13" s="2">
        <v>12</v>
      </c>
      <c r="B13" s="2" t="s">
        <v>43</v>
      </c>
      <c r="C13" s="2" t="s">
        <v>22</v>
      </c>
      <c r="D13" s="2" t="s">
        <v>27</v>
      </c>
      <c r="E13" s="2" t="s">
        <v>24</v>
      </c>
      <c r="F13" s="2">
        <v>20</v>
      </c>
      <c r="G13" s="2">
        <v>11000</v>
      </c>
      <c r="H13" s="2">
        <v>220000</v>
      </c>
      <c r="I13" s="2" t="s">
        <v>32</v>
      </c>
      <c r="J13" s="2" t="s">
        <v>42</v>
      </c>
      <c r="M13" s="5" t="s">
        <v>93</v>
      </c>
    </row>
    <row r="14" spans="1:13">
      <c r="A14" s="2">
        <v>13</v>
      </c>
      <c r="B14" s="2" t="s">
        <v>44</v>
      </c>
      <c r="C14" s="2" t="s">
        <v>30</v>
      </c>
      <c r="D14" s="2" t="s">
        <v>12</v>
      </c>
      <c r="E14" s="2" t="s">
        <v>31</v>
      </c>
      <c r="F14" s="2">
        <v>2</v>
      </c>
      <c r="G14" s="2">
        <v>87000</v>
      </c>
      <c r="H14" s="2">
        <v>174000</v>
      </c>
      <c r="I14" s="2" t="s">
        <v>20</v>
      </c>
      <c r="J14" s="2" t="s">
        <v>45</v>
      </c>
      <c r="M14" s="5"/>
    </row>
    <row r="15" spans="1:13">
      <c r="A15" s="2">
        <v>14</v>
      </c>
      <c r="B15" s="2" t="s">
        <v>46</v>
      </c>
      <c r="C15" s="2" t="s">
        <v>17</v>
      </c>
      <c r="D15" s="2" t="s">
        <v>18</v>
      </c>
      <c r="E15" s="2" t="s">
        <v>19</v>
      </c>
      <c r="F15" s="2" t="s">
        <v>19</v>
      </c>
      <c r="G15" s="2" t="s">
        <v>19</v>
      </c>
      <c r="H15" s="2" t="s">
        <v>19</v>
      </c>
      <c r="I15" s="2" t="s">
        <v>14</v>
      </c>
      <c r="J15" s="2" t="s">
        <v>45</v>
      </c>
      <c r="M15" s="5" t="s">
        <v>94</v>
      </c>
    </row>
    <row r="16" spans="1:13">
      <c r="A16" s="2">
        <v>15</v>
      </c>
      <c r="B16" s="2" t="s">
        <v>47</v>
      </c>
      <c r="C16" s="2" t="s">
        <v>11</v>
      </c>
      <c r="D16" s="2" t="s">
        <v>23</v>
      </c>
      <c r="E16" s="2" t="s">
        <v>28</v>
      </c>
      <c r="F16" s="2">
        <v>5</v>
      </c>
      <c r="G16" s="2">
        <v>21000</v>
      </c>
      <c r="H16" s="2">
        <v>105000</v>
      </c>
      <c r="I16" s="2" t="s">
        <v>14</v>
      </c>
      <c r="J16" s="2" t="s">
        <v>48</v>
      </c>
    </row>
    <row r="17" spans="1:13" ht="15.75">
      <c r="A17" s="2">
        <v>16</v>
      </c>
      <c r="B17" s="2" t="s">
        <v>49</v>
      </c>
      <c r="C17" s="2" t="s">
        <v>22</v>
      </c>
      <c r="D17" s="2" t="s">
        <v>12</v>
      </c>
      <c r="E17" s="2" t="s">
        <v>24</v>
      </c>
      <c r="F17" s="2">
        <v>14</v>
      </c>
      <c r="G17" s="2">
        <v>14000</v>
      </c>
      <c r="H17" s="2">
        <v>196000</v>
      </c>
      <c r="I17" s="2" t="s">
        <v>20</v>
      </c>
      <c r="J17" s="2" t="s">
        <v>48</v>
      </c>
      <c r="M17" s="4" t="s">
        <v>95</v>
      </c>
    </row>
    <row r="18" spans="1:13">
      <c r="A18" s="2">
        <v>17</v>
      </c>
      <c r="B18" s="2" t="s">
        <v>50</v>
      </c>
      <c r="C18" s="2" t="s">
        <v>30</v>
      </c>
      <c r="D18" s="2" t="s">
        <v>27</v>
      </c>
      <c r="E18" s="2" t="s">
        <v>31</v>
      </c>
      <c r="F18" s="2">
        <v>3</v>
      </c>
      <c r="G18" s="2">
        <v>80000</v>
      </c>
      <c r="H18" s="2">
        <v>240000</v>
      </c>
      <c r="I18" s="2" t="s">
        <v>32</v>
      </c>
      <c r="J18" s="2" t="s">
        <v>51</v>
      </c>
      <c r="M18" s="5"/>
    </row>
    <row r="19" spans="1:13">
      <c r="A19" s="2">
        <v>18</v>
      </c>
      <c r="B19" s="2" t="s">
        <v>52</v>
      </c>
      <c r="C19" s="2" t="s">
        <v>17</v>
      </c>
      <c r="D19" s="2" t="s">
        <v>12</v>
      </c>
      <c r="E19" s="2" t="s">
        <v>19</v>
      </c>
      <c r="F19" s="2" t="s">
        <v>19</v>
      </c>
      <c r="G19" s="2" t="s">
        <v>19</v>
      </c>
      <c r="H19" s="2" t="s">
        <v>19</v>
      </c>
      <c r="I19" s="2" t="s">
        <v>20</v>
      </c>
      <c r="J19" s="2" t="s">
        <v>51</v>
      </c>
      <c r="M19" s="5" t="s">
        <v>96</v>
      </c>
    </row>
    <row r="20" spans="1:13">
      <c r="A20" s="2">
        <v>19</v>
      </c>
      <c r="B20" s="2" t="s">
        <v>53</v>
      </c>
      <c r="C20" s="2" t="s">
        <v>11</v>
      </c>
      <c r="D20" s="2" t="s">
        <v>18</v>
      </c>
      <c r="E20" s="2" t="s">
        <v>13</v>
      </c>
      <c r="F20" s="2">
        <v>4</v>
      </c>
      <c r="G20" s="2">
        <v>60000</v>
      </c>
      <c r="H20" s="2">
        <v>240000</v>
      </c>
      <c r="I20" s="2" t="s">
        <v>20</v>
      </c>
      <c r="J20" s="2" t="s">
        <v>54</v>
      </c>
      <c r="M20" s="5"/>
    </row>
    <row r="21" spans="1:13">
      <c r="A21" s="2">
        <v>20</v>
      </c>
      <c r="B21" s="2" t="s">
        <v>55</v>
      </c>
      <c r="C21" s="2" t="s">
        <v>22</v>
      </c>
      <c r="D21" s="2" t="s">
        <v>23</v>
      </c>
      <c r="E21" s="2" t="s">
        <v>24</v>
      </c>
      <c r="F21" s="2">
        <v>18</v>
      </c>
      <c r="G21" s="2">
        <v>13000</v>
      </c>
      <c r="H21" s="2">
        <v>234000</v>
      </c>
      <c r="I21" s="2" t="s">
        <v>14</v>
      </c>
      <c r="J21" s="2" t="s">
        <v>54</v>
      </c>
      <c r="M21" s="5" t="s">
        <v>97</v>
      </c>
    </row>
    <row r="22" spans="1:13">
      <c r="A22" s="2">
        <v>21</v>
      </c>
      <c r="B22" s="2" t="s">
        <v>56</v>
      </c>
      <c r="C22" s="2" t="s">
        <v>11</v>
      </c>
      <c r="D22" s="2" t="s">
        <v>27</v>
      </c>
      <c r="E22" s="2" t="s">
        <v>28</v>
      </c>
      <c r="F22" s="2">
        <v>6</v>
      </c>
      <c r="G22" s="2">
        <v>22000</v>
      </c>
      <c r="H22" s="2">
        <v>132000</v>
      </c>
      <c r="I22" s="2" t="s">
        <v>14</v>
      </c>
      <c r="J22" s="2" t="s">
        <v>57</v>
      </c>
      <c r="M22" s="5"/>
    </row>
    <row r="23" spans="1:13">
      <c r="A23" s="2">
        <v>22</v>
      </c>
      <c r="B23" s="2" t="s">
        <v>58</v>
      </c>
      <c r="C23" s="2" t="s">
        <v>30</v>
      </c>
      <c r="D23" s="2" t="s">
        <v>23</v>
      </c>
      <c r="E23" s="2" t="s">
        <v>31</v>
      </c>
      <c r="F23" s="2">
        <v>2</v>
      </c>
      <c r="G23" s="2">
        <v>95000</v>
      </c>
      <c r="H23" s="2">
        <v>190000</v>
      </c>
      <c r="I23" s="2" t="s">
        <v>14</v>
      </c>
      <c r="J23" s="2" t="s">
        <v>57</v>
      </c>
      <c r="M23" s="5" t="s">
        <v>98</v>
      </c>
    </row>
    <row r="24" spans="1:13">
      <c r="A24" s="2">
        <v>23</v>
      </c>
      <c r="B24" s="2" t="s">
        <v>59</v>
      </c>
      <c r="C24" s="2" t="s">
        <v>17</v>
      </c>
      <c r="D24" s="2" t="s">
        <v>12</v>
      </c>
      <c r="E24" s="2" t="s">
        <v>19</v>
      </c>
      <c r="F24" s="2" t="s">
        <v>19</v>
      </c>
      <c r="G24" s="2" t="s">
        <v>19</v>
      </c>
      <c r="H24" s="2" t="s">
        <v>19</v>
      </c>
      <c r="I24" s="2" t="s">
        <v>32</v>
      </c>
      <c r="J24" s="2" t="s">
        <v>60</v>
      </c>
      <c r="M24" s="5"/>
    </row>
    <row r="25" spans="1:13">
      <c r="A25" s="2">
        <v>24</v>
      </c>
      <c r="B25" s="2" t="s">
        <v>61</v>
      </c>
      <c r="C25" s="2" t="s">
        <v>11</v>
      </c>
      <c r="D25" s="2" t="s">
        <v>12</v>
      </c>
      <c r="E25" s="2" t="s">
        <v>13</v>
      </c>
      <c r="F25" s="2">
        <v>8</v>
      </c>
      <c r="G25" s="2">
        <v>54000</v>
      </c>
      <c r="H25" s="2">
        <v>432000</v>
      </c>
      <c r="I25" s="2" t="s">
        <v>14</v>
      </c>
      <c r="J25" s="2" t="s">
        <v>60</v>
      </c>
      <c r="M25" s="5" t="s">
        <v>99</v>
      </c>
    </row>
    <row r="26" spans="1:13">
      <c r="A26" s="2">
        <v>25</v>
      </c>
      <c r="B26" s="2" t="s">
        <v>62</v>
      </c>
      <c r="C26" s="2" t="s">
        <v>22</v>
      </c>
      <c r="D26" s="2" t="s">
        <v>27</v>
      </c>
      <c r="E26" s="2" t="s">
        <v>24</v>
      </c>
      <c r="F26" s="2">
        <v>16</v>
      </c>
      <c r="G26" s="2">
        <v>11500</v>
      </c>
      <c r="H26" s="2">
        <v>184000</v>
      </c>
      <c r="I26" s="2" t="s">
        <v>20</v>
      </c>
      <c r="J26" s="2" t="s">
        <v>15</v>
      </c>
      <c r="M26" s="5"/>
    </row>
    <row r="27" spans="1:13">
      <c r="A27" s="2">
        <v>26</v>
      </c>
      <c r="B27" s="2" t="s">
        <v>63</v>
      </c>
      <c r="C27" s="2" t="s">
        <v>30</v>
      </c>
      <c r="D27" s="2" t="s">
        <v>18</v>
      </c>
      <c r="E27" s="2" t="s">
        <v>31</v>
      </c>
      <c r="F27" s="2">
        <v>3</v>
      </c>
      <c r="G27" s="2">
        <v>88000</v>
      </c>
      <c r="H27" s="2">
        <v>264000</v>
      </c>
      <c r="I27" s="2" t="s">
        <v>20</v>
      </c>
      <c r="J27" s="2" t="s">
        <v>15</v>
      </c>
      <c r="M27" s="5" t="s">
        <v>100</v>
      </c>
    </row>
    <row r="28" spans="1:13">
      <c r="A28" s="2">
        <v>27</v>
      </c>
      <c r="B28" s="2" t="s">
        <v>64</v>
      </c>
      <c r="C28" s="2" t="s">
        <v>11</v>
      </c>
      <c r="D28" s="2" t="s">
        <v>12</v>
      </c>
      <c r="E28" s="2" t="s">
        <v>28</v>
      </c>
      <c r="F28" s="2">
        <v>9</v>
      </c>
      <c r="G28" s="2">
        <v>24000</v>
      </c>
      <c r="H28" s="2">
        <v>216000</v>
      </c>
      <c r="I28" s="2" t="s">
        <v>32</v>
      </c>
      <c r="J28" s="2" t="s">
        <v>25</v>
      </c>
    </row>
    <row r="29" spans="1:13" ht="15.75">
      <c r="A29" s="2">
        <v>28</v>
      </c>
      <c r="B29" s="2" t="s">
        <v>65</v>
      </c>
      <c r="C29" s="2" t="s">
        <v>22</v>
      </c>
      <c r="D29" s="2" t="s">
        <v>23</v>
      </c>
      <c r="E29" s="2" t="s">
        <v>24</v>
      </c>
      <c r="F29" s="2">
        <v>13</v>
      </c>
      <c r="G29" s="2">
        <v>13500</v>
      </c>
      <c r="H29" s="2">
        <v>175500</v>
      </c>
      <c r="I29" s="2" t="s">
        <v>14</v>
      </c>
      <c r="J29" s="2" t="s">
        <v>25</v>
      </c>
      <c r="M29" s="4" t="s">
        <v>101</v>
      </c>
    </row>
    <row r="30" spans="1:13">
      <c r="A30" s="2">
        <v>29</v>
      </c>
      <c r="B30" s="2" t="s">
        <v>66</v>
      </c>
      <c r="C30" s="2" t="s">
        <v>17</v>
      </c>
      <c r="D30" s="2" t="s">
        <v>27</v>
      </c>
      <c r="E30" s="2" t="s">
        <v>19</v>
      </c>
      <c r="F30" s="2" t="s">
        <v>19</v>
      </c>
      <c r="G30" s="2" t="s">
        <v>19</v>
      </c>
      <c r="H30" s="2" t="s">
        <v>19</v>
      </c>
      <c r="I30" s="2" t="s">
        <v>14</v>
      </c>
      <c r="J30" s="2" t="s">
        <v>33</v>
      </c>
      <c r="M30" s="5"/>
    </row>
    <row r="31" spans="1:13">
      <c r="A31" s="2">
        <v>30</v>
      </c>
      <c r="B31" s="2" t="s">
        <v>67</v>
      </c>
      <c r="C31" s="2" t="s">
        <v>11</v>
      </c>
      <c r="D31" s="2" t="s">
        <v>23</v>
      </c>
      <c r="E31" s="2" t="s">
        <v>13</v>
      </c>
      <c r="F31" s="2">
        <v>10</v>
      </c>
      <c r="G31" s="2">
        <v>50000</v>
      </c>
      <c r="H31" s="2">
        <v>500000</v>
      </c>
      <c r="I31" s="2" t="s">
        <v>20</v>
      </c>
      <c r="J31" s="2" t="s">
        <v>33</v>
      </c>
      <c r="M31" s="5" t="s">
        <v>102</v>
      </c>
    </row>
    <row r="32" spans="1:13">
      <c r="A32" s="2">
        <v>31</v>
      </c>
      <c r="B32" s="2" t="s">
        <v>68</v>
      </c>
      <c r="C32" s="2" t="s">
        <v>30</v>
      </c>
      <c r="D32" s="2" t="s">
        <v>12</v>
      </c>
      <c r="E32" s="2" t="s">
        <v>31</v>
      </c>
      <c r="F32" s="2">
        <v>1</v>
      </c>
      <c r="G32" s="2">
        <v>97000</v>
      </c>
      <c r="H32" s="2">
        <v>97000</v>
      </c>
      <c r="I32" s="2" t="s">
        <v>32</v>
      </c>
      <c r="J32" s="2" t="s">
        <v>36</v>
      </c>
      <c r="M32" s="5"/>
    </row>
    <row r="33" spans="1:13">
      <c r="A33" s="2">
        <v>32</v>
      </c>
      <c r="B33" s="2" t="s">
        <v>69</v>
      </c>
      <c r="C33" s="2" t="s">
        <v>22</v>
      </c>
      <c r="D33" s="2" t="s">
        <v>18</v>
      </c>
      <c r="E33" s="2" t="s">
        <v>24</v>
      </c>
      <c r="F33" s="2">
        <v>11</v>
      </c>
      <c r="G33" s="2">
        <v>14500</v>
      </c>
      <c r="H33" s="2">
        <v>159500</v>
      </c>
      <c r="I33" s="2" t="s">
        <v>14</v>
      </c>
      <c r="J33" s="2" t="s">
        <v>36</v>
      </c>
      <c r="M33" s="5" t="s">
        <v>103</v>
      </c>
    </row>
    <row r="34" spans="1:13">
      <c r="A34" s="2">
        <v>33</v>
      </c>
      <c r="B34" s="2" t="s">
        <v>70</v>
      </c>
      <c r="C34" s="2" t="s">
        <v>11</v>
      </c>
      <c r="D34" s="2" t="s">
        <v>27</v>
      </c>
      <c r="E34" s="2" t="s">
        <v>28</v>
      </c>
      <c r="F34" s="2">
        <v>7</v>
      </c>
      <c r="G34" s="2">
        <v>26000</v>
      </c>
      <c r="H34" s="2">
        <v>182000</v>
      </c>
      <c r="I34" s="2" t="s">
        <v>20</v>
      </c>
      <c r="J34" s="2" t="s">
        <v>39</v>
      </c>
      <c r="M34" s="5"/>
    </row>
    <row r="35" spans="1:13">
      <c r="A35" s="2">
        <v>34</v>
      </c>
      <c r="B35" s="2" t="s">
        <v>71</v>
      </c>
      <c r="C35" s="2" t="s">
        <v>17</v>
      </c>
      <c r="D35" s="2" t="s">
        <v>23</v>
      </c>
      <c r="E35" s="2" t="s">
        <v>19</v>
      </c>
      <c r="F35" s="2" t="s">
        <v>19</v>
      </c>
      <c r="G35" s="2" t="s">
        <v>19</v>
      </c>
      <c r="H35" s="2" t="s">
        <v>19</v>
      </c>
      <c r="I35" s="2" t="s">
        <v>20</v>
      </c>
      <c r="J35" s="2" t="s">
        <v>39</v>
      </c>
      <c r="M35" s="5" t="s">
        <v>104</v>
      </c>
    </row>
    <row r="36" spans="1:13">
      <c r="A36" s="2">
        <v>35</v>
      </c>
      <c r="B36" s="2" t="s">
        <v>72</v>
      </c>
      <c r="C36" s="2" t="s">
        <v>30</v>
      </c>
      <c r="D36" s="2" t="s">
        <v>12</v>
      </c>
      <c r="E36" s="2" t="s">
        <v>31</v>
      </c>
      <c r="F36" s="2">
        <v>4</v>
      </c>
      <c r="G36" s="2">
        <v>89000</v>
      </c>
      <c r="H36" s="2">
        <v>356000</v>
      </c>
      <c r="I36" s="2" t="s">
        <v>14</v>
      </c>
      <c r="J36" s="2" t="s">
        <v>42</v>
      </c>
      <c r="M36" s="5"/>
    </row>
    <row r="37" spans="1:13">
      <c r="A37" s="2">
        <v>36</v>
      </c>
      <c r="B37" s="2" t="s">
        <v>73</v>
      </c>
      <c r="C37" s="2" t="s">
        <v>22</v>
      </c>
      <c r="D37" s="2" t="s">
        <v>12</v>
      </c>
      <c r="E37" s="2" t="s">
        <v>24</v>
      </c>
      <c r="F37" s="2">
        <v>9</v>
      </c>
      <c r="G37" s="2">
        <v>15000</v>
      </c>
      <c r="H37" s="2">
        <v>135000</v>
      </c>
      <c r="I37" s="2" t="s">
        <v>14</v>
      </c>
      <c r="J37" s="2" t="s">
        <v>42</v>
      </c>
      <c r="M37" s="5" t="s">
        <v>105</v>
      </c>
    </row>
    <row r="38" spans="1:13">
      <c r="A38" s="2">
        <v>37</v>
      </c>
      <c r="B38" s="2" t="s">
        <v>74</v>
      </c>
      <c r="C38" s="2" t="s">
        <v>11</v>
      </c>
      <c r="D38" s="2" t="s">
        <v>23</v>
      </c>
      <c r="E38" s="2" t="s">
        <v>13</v>
      </c>
      <c r="F38" s="2">
        <v>5</v>
      </c>
      <c r="G38" s="2">
        <v>55000</v>
      </c>
      <c r="H38" s="2">
        <v>275000</v>
      </c>
      <c r="I38" s="2" t="s">
        <v>32</v>
      </c>
      <c r="J38" s="2" t="s">
        <v>45</v>
      </c>
      <c r="M38" s="5"/>
    </row>
    <row r="39" spans="1:13">
      <c r="A39" s="2">
        <v>38</v>
      </c>
      <c r="B39" s="2" t="s">
        <v>75</v>
      </c>
      <c r="C39" s="2" t="s">
        <v>30</v>
      </c>
      <c r="D39" s="2" t="s">
        <v>18</v>
      </c>
      <c r="E39" s="2" t="s">
        <v>31</v>
      </c>
      <c r="F39" s="2">
        <v>2</v>
      </c>
      <c r="G39" s="2">
        <v>94000</v>
      </c>
      <c r="H39" s="2">
        <v>188000</v>
      </c>
      <c r="I39" s="2" t="s">
        <v>14</v>
      </c>
      <c r="J39" s="2" t="s">
        <v>45</v>
      </c>
      <c r="M39" s="5" t="s">
        <v>106</v>
      </c>
    </row>
    <row r="40" spans="1:13">
      <c r="A40" s="2">
        <v>39</v>
      </c>
      <c r="B40" s="2" t="s">
        <v>76</v>
      </c>
      <c r="C40" s="2" t="s">
        <v>22</v>
      </c>
      <c r="D40" s="2" t="s">
        <v>27</v>
      </c>
      <c r="E40" s="2" t="s">
        <v>24</v>
      </c>
      <c r="F40" s="2">
        <v>10</v>
      </c>
      <c r="G40" s="2">
        <v>12000</v>
      </c>
      <c r="H40" s="2">
        <v>120000</v>
      </c>
      <c r="I40" s="2" t="s">
        <v>20</v>
      </c>
      <c r="J40" s="2" t="s">
        <v>48</v>
      </c>
      <c r="M40" s="5"/>
    </row>
    <row r="41" spans="1:13">
      <c r="A41" s="2">
        <v>40</v>
      </c>
      <c r="B41" s="2" t="s">
        <v>77</v>
      </c>
      <c r="C41" s="2" t="s">
        <v>17</v>
      </c>
      <c r="D41" s="2" t="s">
        <v>12</v>
      </c>
      <c r="E41" s="2" t="s">
        <v>19</v>
      </c>
      <c r="F41" s="2" t="s">
        <v>19</v>
      </c>
      <c r="G41" s="2" t="s">
        <v>19</v>
      </c>
      <c r="H41" s="2" t="s">
        <v>19</v>
      </c>
      <c r="I41" s="2" t="s">
        <v>32</v>
      </c>
      <c r="J41" s="2" t="s">
        <v>48</v>
      </c>
      <c r="M41" s="5" t="s">
        <v>107</v>
      </c>
    </row>
    <row r="42" spans="1:13">
      <c r="A42" s="2">
        <v>41</v>
      </c>
      <c r="B42" s="2" t="s">
        <v>78</v>
      </c>
      <c r="C42" s="2" t="s">
        <v>11</v>
      </c>
      <c r="D42" s="2" t="s">
        <v>12</v>
      </c>
      <c r="E42" s="2" t="s">
        <v>28</v>
      </c>
      <c r="F42" s="2">
        <v>8</v>
      </c>
      <c r="G42" s="2">
        <v>25000</v>
      </c>
      <c r="H42" s="2">
        <v>200000</v>
      </c>
      <c r="I42" s="2" t="s">
        <v>14</v>
      </c>
      <c r="J42" s="2" t="s">
        <v>51</v>
      </c>
      <c r="M42" s="5"/>
    </row>
    <row r="43" spans="1:13">
      <c r="A43" s="2">
        <v>42</v>
      </c>
      <c r="B43" s="2" t="s">
        <v>79</v>
      </c>
      <c r="C43" s="2" t="s">
        <v>30</v>
      </c>
      <c r="D43" s="2" t="s">
        <v>23</v>
      </c>
      <c r="E43" s="2" t="s">
        <v>31</v>
      </c>
      <c r="F43" s="2">
        <v>3</v>
      </c>
      <c r="G43" s="2">
        <v>91000</v>
      </c>
      <c r="H43" s="2">
        <v>273000</v>
      </c>
      <c r="I43" s="2" t="s">
        <v>20</v>
      </c>
      <c r="J43" s="2" t="s">
        <v>51</v>
      </c>
      <c r="M43" s="5" t="s">
        <v>108</v>
      </c>
    </row>
    <row r="44" spans="1:13">
      <c r="A44" s="2">
        <v>43</v>
      </c>
      <c r="B44" s="2" t="s">
        <v>80</v>
      </c>
      <c r="C44" s="2" t="s">
        <v>22</v>
      </c>
      <c r="D44" s="2" t="s">
        <v>12</v>
      </c>
      <c r="E44" s="2" t="s">
        <v>24</v>
      </c>
      <c r="F44" s="2">
        <v>14</v>
      </c>
      <c r="G44" s="2">
        <v>14000</v>
      </c>
      <c r="H44" s="2">
        <v>196000</v>
      </c>
      <c r="I44" s="2" t="s">
        <v>14</v>
      </c>
      <c r="J44" s="2" t="s">
        <v>54</v>
      </c>
      <c r="M44" s="5"/>
    </row>
    <row r="45" spans="1:13">
      <c r="A45" s="2">
        <v>44</v>
      </c>
      <c r="B45" s="2" t="s">
        <v>81</v>
      </c>
      <c r="C45" s="2" t="s">
        <v>11</v>
      </c>
      <c r="D45" s="2" t="s">
        <v>27</v>
      </c>
      <c r="E45" s="2" t="s">
        <v>13</v>
      </c>
      <c r="F45" s="2">
        <v>6</v>
      </c>
      <c r="G45" s="2">
        <v>58000</v>
      </c>
      <c r="H45" s="2">
        <v>348000</v>
      </c>
      <c r="I45" s="2" t="s">
        <v>20</v>
      </c>
      <c r="J45" s="2" t="s">
        <v>54</v>
      </c>
      <c r="M45" s="5" t="s">
        <v>109</v>
      </c>
    </row>
    <row r="46" spans="1:13">
      <c r="A46" s="2">
        <v>45</v>
      </c>
      <c r="B46" s="2" t="s">
        <v>82</v>
      </c>
      <c r="C46" s="2" t="s">
        <v>30</v>
      </c>
      <c r="D46" s="2" t="s">
        <v>18</v>
      </c>
      <c r="E46" s="2" t="s">
        <v>31</v>
      </c>
      <c r="F46" s="2">
        <v>2</v>
      </c>
      <c r="G46" s="2">
        <v>96000</v>
      </c>
      <c r="H46" s="2">
        <v>192000</v>
      </c>
      <c r="I46" s="2" t="s">
        <v>32</v>
      </c>
      <c r="J46" s="2" t="s">
        <v>57</v>
      </c>
    </row>
    <row r="47" spans="1:13" ht="15.75">
      <c r="A47" s="2">
        <v>46</v>
      </c>
      <c r="B47" s="2" t="s">
        <v>83</v>
      </c>
      <c r="C47" s="2" t="s">
        <v>22</v>
      </c>
      <c r="D47" s="2" t="s">
        <v>23</v>
      </c>
      <c r="E47" s="2" t="s">
        <v>24</v>
      </c>
      <c r="F47" s="2">
        <v>17</v>
      </c>
      <c r="G47" s="2">
        <v>12500</v>
      </c>
      <c r="H47" s="2">
        <v>212500</v>
      </c>
      <c r="I47" s="2" t="s">
        <v>20</v>
      </c>
      <c r="J47" s="2" t="s">
        <v>57</v>
      </c>
      <c r="M47" s="4" t="s">
        <v>110</v>
      </c>
    </row>
    <row r="48" spans="1:13">
      <c r="A48" s="2">
        <v>47</v>
      </c>
      <c r="B48" s="2" t="s">
        <v>84</v>
      </c>
      <c r="C48" s="2" t="s">
        <v>11</v>
      </c>
      <c r="D48" s="2" t="s">
        <v>12</v>
      </c>
      <c r="E48" s="2" t="s">
        <v>28</v>
      </c>
      <c r="F48" s="2">
        <v>9</v>
      </c>
      <c r="G48" s="2">
        <v>22000</v>
      </c>
      <c r="H48" s="2">
        <v>198000</v>
      </c>
      <c r="I48" s="2" t="s">
        <v>14</v>
      </c>
      <c r="J48" s="2" t="s">
        <v>60</v>
      </c>
      <c r="M48" s="5"/>
    </row>
    <row r="49" spans="1:13">
      <c r="A49" s="2">
        <v>48</v>
      </c>
      <c r="B49" s="2" t="s">
        <v>85</v>
      </c>
      <c r="C49" s="2" t="s">
        <v>17</v>
      </c>
      <c r="D49" s="2" t="s">
        <v>18</v>
      </c>
      <c r="E49" s="2" t="s">
        <v>19</v>
      </c>
      <c r="F49" s="2" t="s">
        <v>19</v>
      </c>
      <c r="G49" s="2" t="s">
        <v>19</v>
      </c>
      <c r="H49" s="2" t="s">
        <v>19</v>
      </c>
      <c r="I49" s="2" t="s">
        <v>20</v>
      </c>
      <c r="J49" s="2" t="s">
        <v>60</v>
      </c>
      <c r="M49" s="5" t="s">
        <v>111</v>
      </c>
    </row>
    <row r="50" spans="1:13">
      <c r="A50" s="2">
        <v>49</v>
      </c>
      <c r="B50" s="2" t="s">
        <v>86</v>
      </c>
      <c r="C50" s="2" t="s">
        <v>30</v>
      </c>
      <c r="D50" s="2" t="s">
        <v>12</v>
      </c>
      <c r="E50" s="2" t="s">
        <v>31</v>
      </c>
      <c r="F50" s="2">
        <v>5</v>
      </c>
      <c r="G50" s="2">
        <v>89000</v>
      </c>
      <c r="H50" s="2">
        <v>445000</v>
      </c>
      <c r="I50" s="2" t="s">
        <v>14</v>
      </c>
      <c r="J50" s="2" t="s">
        <v>15</v>
      </c>
      <c r="M50" s="5"/>
    </row>
    <row r="51" spans="1:13">
      <c r="A51" s="2">
        <v>50</v>
      </c>
      <c r="B51" s="2" t="s">
        <v>87</v>
      </c>
      <c r="C51" s="2" t="s">
        <v>11</v>
      </c>
      <c r="D51" s="2" t="s">
        <v>23</v>
      </c>
      <c r="E51" s="2" t="s">
        <v>13</v>
      </c>
      <c r="F51" s="2">
        <v>7</v>
      </c>
      <c r="G51" s="2">
        <v>52000</v>
      </c>
      <c r="H51" s="2">
        <v>364000</v>
      </c>
      <c r="I51" s="2" t="s">
        <v>20</v>
      </c>
      <c r="J51" s="2" t="s">
        <v>15</v>
      </c>
      <c r="M51" s="5" t="s">
        <v>112</v>
      </c>
    </row>
    <row r="52" spans="1:13">
      <c r="M52" s="5"/>
    </row>
    <row r="53" spans="1:13">
      <c r="M53" s="5" t="s">
        <v>113</v>
      </c>
    </row>
    <row r="54" spans="1:13">
      <c r="M54" s="5"/>
    </row>
    <row r="55" spans="1:13">
      <c r="M55" s="5" t="s">
        <v>114</v>
      </c>
    </row>
    <row r="56" spans="1:13">
      <c r="M56" s="5"/>
    </row>
    <row r="57" spans="1:13">
      <c r="M57" s="5" t="s">
        <v>115</v>
      </c>
    </row>
    <row r="58" spans="1:13">
      <c r="M58" s="5"/>
    </row>
    <row r="59" spans="1:13">
      <c r="M59" s="5" t="s">
        <v>116</v>
      </c>
    </row>
    <row r="60" spans="1:13">
      <c r="B60" s="5" t="s">
        <v>90</v>
      </c>
      <c r="M60" s="5"/>
    </row>
    <row r="61" spans="1:13">
      <c r="B61">
        <f>SUM(H:H)</f>
        <v>9817500</v>
      </c>
      <c r="M61" s="5" t="s">
        <v>117</v>
      </c>
    </row>
    <row r="62" spans="1:13">
      <c r="M62" s="5"/>
    </row>
    <row r="63" spans="1:13">
      <c r="B63" s="5" t="s">
        <v>91</v>
      </c>
      <c r="M63" s="5" t="s">
        <v>118</v>
      </c>
    </row>
    <row r="64" spans="1:13">
      <c r="B64">
        <f>SUMIF(H1:H53,D2="East")</f>
        <v>0</v>
      </c>
    </row>
  </sheetData>
  <autoFilter ref="A1:J64" xr:uid="{7BF16951-FECE-4A68-9A90-31A107ADEF8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E453-62E1-421E-AA6A-04D7F76F650F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sample-data</vt:lpstr>
      <vt:lpstr>dashboard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bhattacharyasambit971@gmail.com</dc:creator>
  <cp:lastModifiedBy>bhattacharyasambit971@gmail.com</cp:lastModifiedBy>
  <dcterms:created xsi:type="dcterms:W3CDTF">2025-11-09T20:25:34Z</dcterms:created>
  <dcterms:modified xsi:type="dcterms:W3CDTF">2025-11-10T00:19:32Z</dcterms:modified>
</cp:coreProperties>
</file>