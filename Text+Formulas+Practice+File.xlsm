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A424DF79-E5BD-42A2-B652-3FE6864A5379}" xr6:coauthVersionLast="47" xr6:coauthVersionMax="47" xr10:uidLastSave="{00000000-0000-0000-0000-000000000000}"/>
  <bookViews>
    <workbookView xWindow="-108" yWindow="-108" windowWidth="23256" windowHeight="12456" activeTab="2" xr2:uid="{7C4F2657-8321-41C9-A41F-3CBBE49192E3}"/>
  </bookViews>
  <sheets>
    <sheet name="LEFT, RIGHT &amp; MID" sheetId="1" r:id="rId1"/>
    <sheet name="UPPER, LOWER &amp; PROPER" sheetId="3" r:id="rId2"/>
    <sheet name="CONCAT &amp; TEXTJOIN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6" i="2" l="1"/>
  <c r="F55" i="2"/>
  <c r="F54" i="2"/>
  <c r="F53" i="2"/>
  <c r="F52" i="2"/>
  <c r="F51" i="2"/>
  <c r="F50" i="2"/>
  <c r="F49" i="2"/>
  <c r="F48" i="2"/>
  <c r="F34" i="2"/>
  <c r="F33" i="2"/>
  <c r="F32" i="2"/>
  <c r="F31" i="2"/>
  <c r="F30" i="2"/>
  <c r="F29" i="2"/>
  <c r="F28" i="2"/>
  <c r="F27" i="2"/>
  <c r="F26" i="2"/>
  <c r="F7" i="2"/>
  <c r="F49" i="1"/>
  <c r="F15" i="2"/>
  <c r="F14" i="2"/>
  <c r="F13" i="2"/>
  <c r="F12" i="2"/>
  <c r="F11" i="2"/>
  <c r="F10" i="2"/>
  <c r="F9" i="2"/>
  <c r="F8" i="2"/>
  <c r="F55" i="3"/>
  <c r="F54" i="3"/>
  <c r="F53" i="3"/>
  <c r="F52" i="3"/>
  <c r="F51" i="3"/>
  <c r="F50" i="3"/>
  <c r="F49" i="3"/>
  <c r="F48" i="3"/>
  <c r="F47" i="3"/>
  <c r="F33" i="3"/>
  <c r="F32" i="3"/>
  <c r="F31" i="3"/>
  <c r="F30" i="3"/>
  <c r="F29" i="3"/>
  <c r="F28" i="3"/>
  <c r="F27" i="3"/>
  <c r="F26" i="3"/>
  <c r="F25" i="3"/>
  <c r="F15" i="3"/>
  <c r="F14" i="3"/>
  <c r="F13" i="3"/>
  <c r="F12" i="3"/>
  <c r="F11" i="3"/>
  <c r="F10" i="3"/>
  <c r="F9" i="3"/>
  <c r="F8" i="3"/>
  <c r="F7" i="3"/>
  <c r="F57" i="1"/>
  <c r="F56" i="1"/>
  <c r="F55" i="1"/>
  <c r="F54" i="1"/>
  <c r="F53" i="1"/>
  <c r="F52" i="1"/>
  <c r="F51" i="1"/>
  <c r="F50" i="1"/>
  <c r="F37" i="1"/>
  <c r="F36" i="1"/>
  <c r="F35" i="1"/>
  <c r="F34" i="1"/>
  <c r="F33" i="1"/>
  <c r="F32" i="1"/>
  <c r="F31" i="1"/>
  <c r="F30" i="1"/>
  <c r="F29" i="1"/>
  <c r="F16" i="1"/>
  <c r="F15" i="1"/>
  <c r="F14" i="1"/>
  <c r="F13" i="1"/>
  <c r="F12" i="1"/>
  <c r="F11" i="1"/>
  <c r="F10" i="1"/>
  <c r="F9" i="1"/>
  <c r="F8" i="1"/>
</calcChain>
</file>

<file path=xl/sharedStrings.xml><?xml version="1.0" encoding="utf-8"?>
<sst xmlns="http://schemas.openxmlformats.org/spreadsheetml/2006/main" count="288" uniqueCount="34">
  <si>
    <t>Dress Type</t>
  </si>
  <si>
    <t>Dress Size</t>
  </si>
  <si>
    <t>Brand</t>
  </si>
  <si>
    <t>Extracted Brand Name</t>
  </si>
  <si>
    <t>Shirt</t>
  </si>
  <si>
    <t>S</t>
  </si>
  <si>
    <t>Louis Vuitton</t>
  </si>
  <si>
    <t>Pants</t>
  </si>
  <si>
    <t>Burberry</t>
  </si>
  <si>
    <t>M</t>
  </si>
  <si>
    <t>Chanel</t>
  </si>
  <si>
    <t>Extract the First 3 Digits of the Brand Names</t>
  </si>
  <si>
    <t>H&amp;M</t>
  </si>
  <si>
    <t>L</t>
  </si>
  <si>
    <t>Ralph Lauren</t>
  </si>
  <si>
    <t>Levi's</t>
  </si>
  <si>
    <t>Omega</t>
  </si>
  <si>
    <t>Under Armour</t>
  </si>
  <si>
    <t>Michael Kors</t>
  </si>
  <si>
    <t>Extract the Last 3 Digits of the Brand Names</t>
  </si>
  <si>
    <t>Extract 3 Digits of the Brand Names after the 3rd Character of its name</t>
  </si>
  <si>
    <t>Attach all three Dress Type, Size and Brand into one sentence</t>
  </si>
  <si>
    <t>Attach all three Dress Type, Size and Brand into one sentence with an " - " in between</t>
  </si>
  <si>
    <t>Capitalise the brand name in full</t>
  </si>
  <si>
    <t>LOUIS VUITTON</t>
  </si>
  <si>
    <t>BURBERRY</t>
  </si>
  <si>
    <t>CHANEL</t>
  </si>
  <si>
    <t>De-Capitalise the brand name in full</t>
  </si>
  <si>
    <t>RALPH LAUREN</t>
  </si>
  <si>
    <t>LEVI'S</t>
  </si>
  <si>
    <t>OMEGA</t>
  </si>
  <si>
    <t>UNDER ARMOUR</t>
  </si>
  <si>
    <t>MICHAEL KORS</t>
  </si>
  <si>
    <t>Make the Brand grammatically 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</si>
</sst>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1"/>
      <color rgb="FF59595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CF492"/>
        <bgColor indexed="64"/>
      </patternFill>
    </fill>
  </fills>
  <borders count="2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 readingOrder="1"/>
    </xf>
    <xf numFmtId="0" fontId="4" fillId="0" borderId="1" xfId="0" applyFont="1" applyBorder="1" applyAlignment="1">
      <alignment horizontal="center" vertical="center" readingOrder="1"/>
    </xf>
    <xf numFmtId="0" fontId="1" fillId="3" borderId="0" xfId="0" applyFont="1" applyFill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LEFT, RIGHT &amp; MID'!A62"/><Relationship Id="rId2" Type="http://schemas.openxmlformats.org/officeDocument/2006/relationships/hyperlink" Target="#'LEFT, RIGHT &amp; MID'!A42"/><Relationship Id="rId1" Type="http://schemas.openxmlformats.org/officeDocument/2006/relationships/hyperlink" Target="#'LEFT, RIGHT &amp; MID'!A21"/><Relationship Id="rId4" Type="http://schemas.openxmlformats.org/officeDocument/2006/relationships/hyperlink" Target="#'UPPER, LOWER &amp; PROPER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NCAT &amp; TEXTJOIN'!A1"/><Relationship Id="rId2" Type="http://schemas.openxmlformats.org/officeDocument/2006/relationships/hyperlink" Target="#'UPPER, LOWER &amp; PROPER'!A60"/><Relationship Id="rId1" Type="http://schemas.openxmlformats.org/officeDocument/2006/relationships/hyperlink" Target="#'UPPER, LOWER &amp; PROPER'!A38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CAT &amp; TEXTJOIN'!A60"/><Relationship Id="rId2" Type="http://schemas.openxmlformats.org/officeDocument/2006/relationships/hyperlink" Target="#'CONCAT &amp; TEXTJOIN'!A40"/><Relationship Id="rId1" Type="http://schemas.openxmlformats.org/officeDocument/2006/relationships/hyperlink" Target="#'CONCAT &amp; TEXTJOIN'!A2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" textlink="">
      <xdr:nvSpPr>
        <xdr:cNvPr id="2" name="Graphic 7" descr="Play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36D1CF-56EA-4F78-8CE3-1B03D999B333}"/>
            </a:ext>
          </a:extLst>
        </xdr:cNvPr>
        <xdr:cNvSpPr/>
      </xdr:nvSpPr>
      <xdr:spPr>
        <a:xfrm>
          <a:off x="0" y="0"/>
          <a:ext cx="734757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95250</xdr:colOff>
      <xdr:row>17</xdr:row>
      <xdr:rowOff>15875</xdr:rowOff>
    </xdr:from>
    <xdr:to>
      <xdr:col>11</xdr:col>
      <xdr:colOff>452436</xdr:colOff>
      <xdr:row>18</xdr:row>
      <xdr:rowOff>47627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FABAB7-7478-44E5-9F3F-97C053C6CF3F}"/>
            </a:ext>
          </a:extLst>
        </xdr:cNvPr>
        <xdr:cNvSpPr/>
      </xdr:nvSpPr>
      <xdr:spPr>
        <a:xfrm>
          <a:off x="8540750" y="373062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10</xdr:col>
      <xdr:colOff>15875</xdr:colOff>
      <xdr:row>38</xdr:row>
      <xdr:rowOff>7937</xdr:rowOff>
    </xdr:from>
    <xdr:to>
      <xdr:col>11</xdr:col>
      <xdr:colOff>373061</xdr:colOff>
      <xdr:row>39</xdr:row>
      <xdr:rowOff>39689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43564A-3767-428B-948F-F770EC01C1A9}"/>
            </a:ext>
          </a:extLst>
        </xdr:cNvPr>
        <xdr:cNvSpPr/>
      </xdr:nvSpPr>
      <xdr:spPr>
        <a:xfrm>
          <a:off x="8461375" y="8199437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  <xdr:twoCellAnchor>
    <xdr:from>
      <xdr:col>10</xdr:col>
      <xdr:colOff>1588</xdr:colOff>
      <xdr:row>59</xdr:row>
      <xdr:rowOff>33337</xdr:rowOff>
    </xdr:from>
    <xdr:to>
      <xdr:col>11</xdr:col>
      <xdr:colOff>358774</xdr:colOff>
      <xdr:row>60</xdr:row>
      <xdr:rowOff>65089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930CA49-7C38-2B23-1ED3-A7D586636A0C}"/>
            </a:ext>
          </a:extLst>
        </xdr:cNvPr>
        <xdr:cNvSpPr/>
      </xdr:nvSpPr>
      <xdr:spPr>
        <a:xfrm>
          <a:off x="8447088" y="12701587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Next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14</xdr:row>
      <xdr:rowOff>0</xdr:rowOff>
    </xdr:from>
    <xdr:to>
      <xdr:col>11</xdr:col>
      <xdr:colOff>357186</xdr:colOff>
      <xdr:row>14</xdr:row>
      <xdr:rowOff>222252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9348D-3632-487E-9236-73F172FE19E4}"/>
            </a:ext>
          </a:extLst>
        </xdr:cNvPr>
        <xdr:cNvSpPr/>
      </xdr:nvSpPr>
      <xdr:spPr>
        <a:xfrm>
          <a:off x="8620125" y="2714625"/>
          <a:ext cx="966786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10</xdr:col>
      <xdr:colOff>0</xdr:colOff>
      <xdr:row>33</xdr:row>
      <xdr:rowOff>111125</xdr:rowOff>
    </xdr:from>
    <xdr:to>
      <xdr:col>11</xdr:col>
      <xdr:colOff>357186</xdr:colOff>
      <xdr:row>34</xdr:row>
      <xdr:rowOff>142877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12D30F-C2C8-48A2-BC8D-4DC9EDE950B8}"/>
            </a:ext>
          </a:extLst>
        </xdr:cNvPr>
        <xdr:cNvSpPr/>
      </xdr:nvSpPr>
      <xdr:spPr>
        <a:xfrm>
          <a:off x="8620125" y="735012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  <xdr:twoCellAnchor>
    <xdr:from>
      <xdr:col>9</xdr:col>
      <xdr:colOff>604837</xdr:colOff>
      <xdr:row>57</xdr:row>
      <xdr:rowOff>104776</xdr:rowOff>
    </xdr:from>
    <xdr:to>
      <xdr:col>11</xdr:col>
      <xdr:colOff>350836</xdr:colOff>
      <xdr:row>58</xdr:row>
      <xdr:rowOff>136528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68DF5F-7580-91A8-E7D9-A64A9B75F68D}"/>
            </a:ext>
          </a:extLst>
        </xdr:cNvPr>
        <xdr:cNvSpPr/>
      </xdr:nvSpPr>
      <xdr:spPr>
        <a:xfrm>
          <a:off x="8613775" y="12392026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" textlink="">
      <xdr:nvSpPr>
        <xdr:cNvPr id="2" name="Graphic 7" descr="Play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EECBF8-DA9D-4565-89A6-A719EC90CF8D}"/>
            </a:ext>
          </a:extLst>
        </xdr:cNvPr>
        <xdr:cNvSpPr/>
      </xdr:nvSpPr>
      <xdr:spPr>
        <a:xfrm>
          <a:off x="0" y="0"/>
          <a:ext cx="734757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357186</xdr:colOff>
      <xdr:row>14</xdr:row>
      <xdr:rowOff>222252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A18263-8970-4322-B15A-BBD54083B10C}"/>
            </a:ext>
          </a:extLst>
        </xdr:cNvPr>
        <xdr:cNvSpPr/>
      </xdr:nvSpPr>
      <xdr:spPr>
        <a:xfrm>
          <a:off x="8439150" y="2714625"/>
          <a:ext cx="966786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10</xdr:col>
      <xdr:colOff>31750</xdr:colOff>
      <xdr:row>34</xdr:row>
      <xdr:rowOff>158750</xdr:rowOff>
    </xdr:from>
    <xdr:to>
      <xdr:col>11</xdr:col>
      <xdr:colOff>388936</xdr:colOff>
      <xdr:row>36</xdr:row>
      <xdr:rowOff>2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D156A02-8FD6-4FA7-B985-F198C8E81119}"/>
            </a:ext>
          </a:extLst>
        </xdr:cNvPr>
        <xdr:cNvSpPr/>
      </xdr:nvSpPr>
      <xdr:spPr>
        <a:xfrm>
          <a:off x="8477250" y="7588250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E4877-4B8D-48F4-98FF-2272AFC00090}">
  <sheetPr codeName="Sheet21"/>
  <dimension ref="C7:L57"/>
  <sheetViews>
    <sheetView showGridLines="0" topLeftCell="A43" zoomScale="120" zoomScaleNormal="120" workbookViewId="0">
      <selection activeCell="F49" sqref="F49"/>
    </sheetView>
  </sheetViews>
  <sheetFormatPr defaultRowHeight="14.4" x14ac:dyDescent="0.3"/>
  <cols>
    <col min="3" max="3" width="13.5546875" bestFit="1" customWidth="1"/>
    <col min="4" max="4" width="12.44140625" bestFit="1" customWidth="1"/>
    <col min="5" max="5" width="17.5546875" bestFit="1" customWidth="1"/>
    <col min="6" max="6" width="28.109375" bestFit="1" customWidth="1"/>
  </cols>
  <sheetData>
    <row r="7" spans="3:12" ht="18" x14ac:dyDescent="0.35">
      <c r="C7" s="1" t="s">
        <v>0</v>
      </c>
      <c r="D7" s="1" t="s">
        <v>1</v>
      </c>
      <c r="E7" s="1" t="s">
        <v>2</v>
      </c>
      <c r="F7" s="1" t="s">
        <v>3</v>
      </c>
    </row>
    <row r="8" spans="3:12" ht="18" x14ac:dyDescent="0.3">
      <c r="C8" s="2" t="s">
        <v>4</v>
      </c>
      <c r="D8" s="2" t="s">
        <v>5</v>
      </c>
      <c r="E8" s="2" t="s">
        <v>6</v>
      </c>
      <c r="F8" s="2" t="str">
        <f>LEFT(E8,3)</f>
        <v>Lou</v>
      </c>
    </row>
    <row r="9" spans="3:12" ht="18" x14ac:dyDescent="0.3">
      <c r="C9" s="2" t="s">
        <v>7</v>
      </c>
      <c r="D9" s="2" t="s">
        <v>5</v>
      </c>
      <c r="E9" s="2" t="s">
        <v>8</v>
      </c>
      <c r="F9" s="2" t="str">
        <f t="shared" ref="F9:F16" si="0">LEFT(E9,3)</f>
        <v>Bur</v>
      </c>
    </row>
    <row r="10" spans="3:12" ht="18.75" customHeight="1" x14ac:dyDescent="0.3">
      <c r="C10" s="2" t="s">
        <v>4</v>
      </c>
      <c r="D10" s="2" t="s">
        <v>9</v>
      </c>
      <c r="E10" s="2" t="s">
        <v>10</v>
      </c>
      <c r="F10" s="2" t="str">
        <f t="shared" si="0"/>
        <v>Cha</v>
      </c>
      <c r="H10" s="4" t="s">
        <v>11</v>
      </c>
      <c r="I10" s="4"/>
      <c r="J10" s="4"/>
      <c r="K10" s="4"/>
      <c r="L10" s="4"/>
    </row>
    <row r="11" spans="3:12" ht="18" x14ac:dyDescent="0.3">
      <c r="C11" s="2" t="s">
        <v>7</v>
      </c>
      <c r="D11" s="2" t="s">
        <v>9</v>
      </c>
      <c r="E11" s="2" t="s">
        <v>12</v>
      </c>
      <c r="F11" s="2" t="str">
        <f t="shared" si="0"/>
        <v>H&amp;M</v>
      </c>
      <c r="H11" s="4"/>
      <c r="I11" s="4"/>
      <c r="J11" s="4"/>
      <c r="K11" s="4"/>
      <c r="L11" s="4"/>
    </row>
    <row r="12" spans="3:12" ht="18" x14ac:dyDescent="0.3">
      <c r="C12" s="2" t="s">
        <v>4</v>
      </c>
      <c r="D12" s="2" t="s">
        <v>13</v>
      </c>
      <c r="E12" s="2" t="s">
        <v>14</v>
      </c>
      <c r="F12" s="2" t="str">
        <f t="shared" si="0"/>
        <v>Ral</v>
      </c>
    </row>
    <row r="13" spans="3:12" ht="18" x14ac:dyDescent="0.3">
      <c r="C13" s="2" t="s">
        <v>7</v>
      </c>
      <c r="D13" s="2" t="s">
        <v>13</v>
      </c>
      <c r="E13" s="2" t="s">
        <v>15</v>
      </c>
      <c r="F13" s="2" t="str">
        <f t="shared" si="0"/>
        <v>Lev</v>
      </c>
    </row>
    <row r="14" spans="3:12" ht="18" x14ac:dyDescent="0.3">
      <c r="C14" s="2" t="s">
        <v>4</v>
      </c>
      <c r="D14" s="2" t="s">
        <v>5</v>
      </c>
      <c r="E14" s="2" t="s">
        <v>16</v>
      </c>
      <c r="F14" s="2" t="str">
        <f t="shared" si="0"/>
        <v>Ome</v>
      </c>
    </row>
    <row r="15" spans="3:12" ht="18" x14ac:dyDescent="0.3">
      <c r="C15" s="2" t="s">
        <v>7</v>
      </c>
      <c r="D15" s="2" t="s">
        <v>9</v>
      </c>
      <c r="E15" s="2" t="s">
        <v>17</v>
      </c>
      <c r="F15" s="2" t="str">
        <f t="shared" si="0"/>
        <v>Und</v>
      </c>
    </row>
    <row r="16" spans="3:12" ht="18" x14ac:dyDescent="0.3">
      <c r="C16" s="2" t="s">
        <v>7</v>
      </c>
      <c r="D16" s="2" t="s">
        <v>13</v>
      </c>
      <c r="E16" s="2" t="s">
        <v>18</v>
      </c>
      <c r="F16" s="2" t="str">
        <f t="shared" si="0"/>
        <v>Mic</v>
      </c>
    </row>
    <row r="28" spans="3:12" ht="18" x14ac:dyDescent="0.35">
      <c r="C28" s="1" t="s">
        <v>0</v>
      </c>
      <c r="D28" s="1" t="s">
        <v>1</v>
      </c>
      <c r="E28" s="1" t="s">
        <v>2</v>
      </c>
      <c r="F28" s="1" t="s">
        <v>3</v>
      </c>
    </row>
    <row r="29" spans="3:12" ht="18" x14ac:dyDescent="0.3">
      <c r="C29" s="2" t="s">
        <v>4</v>
      </c>
      <c r="D29" s="2" t="s">
        <v>5</v>
      </c>
      <c r="E29" s="2" t="s">
        <v>6</v>
      </c>
      <c r="F29" s="2" t="str">
        <f>RIGHT(E29,3)</f>
        <v>ton</v>
      </c>
    </row>
    <row r="30" spans="3:12" ht="18" x14ac:dyDescent="0.3">
      <c r="C30" s="2" t="s">
        <v>7</v>
      </c>
      <c r="D30" s="2" t="s">
        <v>5</v>
      </c>
      <c r="E30" s="2" t="s">
        <v>8</v>
      </c>
      <c r="F30" s="2" t="str">
        <f t="shared" ref="F30:F37" si="1">RIGHT(E30,3)</f>
        <v>rry</v>
      </c>
    </row>
    <row r="31" spans="3:12" ht="18.75" customHeight="1" x14ac:dyDescent="0.3">
      <c r="C31" s="2" t="s">
        <v>4</v>
      </c>
      <c r="D31" s="2" t="s">
        <v>9</v>
      </c>
      <c r="E31" s="2" t="s">
        <v>10</v>
      </c>
      <c r="F31" s="2" t="str">
        <f t="shared" si="1"/>
        <v>nel</v>
      </c>
      <c r="H31" s="4" t="s">
        <v>19</v>
      </c>
      <c r="I31" s="4"/>
      <c r="J31" s="4"/>
      <c r="K31" s="4"/>
      <c r="L31" s="4"/>
    </row>
    <row r="32" spans="3:12" ht="18" x14ac:dyDescent="0.3">
      <c r="C32" s="2" t="s">
        <v>7</v>
      </c>
      <c r="D32" s="2" t="s">
        <v>9</v>
      </c>
      <c r="E32" s="2" t="s">
        <v>12</v>
      </c>
      <c r="F32" s="2" t="str">
        <f t="shared" si="1"/>
        <v>H&amp;M</v>
      </c>
      <c r="H32" s="4"/>
      <c r="I32" s="4"/>
      <c r="J32" s="4"/>
      <c r="K32" s="4"/>
      <c r="L32" s="4"/>
    </row>
    <row r="33" spans="3:6" ht="18" x14ac:dyDescent="0.3">
      <c r="C33" s="2" t="s">
        <v>4</v>
      </c>
      <c r="D33" s="2" t="s">
        <v>13</v>
      </c>
      <c r="E33" s="2" t="s">
        <v>14</v>
      </c>
      <c r="F33" s="2" t="str">
        <f t="shared" si="1"/>
        <v>ren</v>
      </c>
    </row>
    <row r="34" spans="3:6" ht="18" x14ac:dyDescent="0.3">
      <c r="C34" s="2" t="s">
        <v>7</v>
      </c>
      <c r="D34" s="2" t="s">
        <v>13</v>
      </c>
      <c r="E34" s="2" t="s">
        <v>15</v>
      </c>
      <c r="F34" s="2" t="str">
        <f t="shared" si="1"/>
        <v>i's</v>
      </c>
    </row>
    <row r="35" spans="3:6" ht="18" x14ac:dyDescent="0.3">
      <c r="C35" s="2" t="s">
        <v>4</v>
      </c>
      <c r="D35" s="2" t="s">
        <v>5</v>
      </c>
      <c r="E35" s="2" t="s">
        <v>16</v>
      </c>
      <c r="F35" s="2" t="str">
        <f t="shared" si="1"/>
        <v>ega</v>
      </c>
    </row>
    <row r="36" spans="3:6" ht="18" x14ac:dyDescent="0.3">
      <c r="C36" s="2" t="s">
        <v>7</v>
      </c>
      <c r="D36" s="2" t="s">
        <v>9</v>
      </c>
      <c r="E36" s="2" t="s">
        <v>17</v>
      </c>
      <c r="F36" s="2" t="str">
        <f t="shared" si="1"/>
        <v>our</v>
      </c>
    </row>
    <row r="37" spans="3:6" ht="18" x14ac:dyDescent="0.3">
      <c r="C37" s="2" t="s">
        <v>7</v>
      </c>
      <c r="D37" s="2" t="s">
        <v>13</v>
      </c>
      <c r="E37" s="2" t="s">
        <v>18</v>
      </c>
      <c r="F37" s="2" t="str">
        <f t="shared" si="1"/>
        <v>ors</v>
      </c>
    </row>
    <row r="48" spans="3:6" ht="18" x14ac:dyDescent="0.35">
      <c r="C48" s="1" t="s">
        <v>0</v>
      </c>
      <c r="D48" s="1" t="s">
        <v>1</v>
      </c>
      <c r="E48" s="1" t="s">
        <v>2</v>
      </c>
      <c r="F48" s="1" t="s">
        <v>3</v>
      </c>
    </row>
    <row r="49" spans="3:12" ht="18" x14ac:dyDescent="0.3">
      <c r="C49" s="2" t="s">
        <v>4</v>
      </c>
      <c r="D49" s="2" t="s">
        <v>5</v>
      </c>
      <c r="E49" s="2" t="s">
        <v>6</v>
      </c>
      <c r="F49" s="2" t="str">
        <f>MID(E49,3,3)</f>
        <v>uis</v>
      </c>
    </row>
    <row r="50" spans="3:12" ht="18" x14ac:dyDescent="0.3">
      <c r="C50" s="2" t="s">
        <v>7</v>
      </c>
      <c r="D50" s="2" t="s">
        <v>5</v>
      </c>
      <c r="E50" s="2" t="s">
        <v>8</v>
      </c>
      <c r="F50" s="2" t="str">
        <f t="shared" ref="F50:F57" si="2">MID(E50,3,3)</f>
        <v>rbe</v>
      </c>
    </row>
    <row r="51" spans="3:12" ht="18.75" customHeight="1" x14ac:dyDescent="0.3">
      <c r="C51" s="2" t="s">
        <v>4</v>
      </c>
      <c r="D51" s="2" t="s">
        <v>9</v>
      </c>
      <c r="E51" s="2" t="s">
        <v>10</v>
      </c>
      <c r="F51" s="2" t="str">
        <f t="shared" si="2"/>
        <v>ane</v>
      </c>
      <c r="H51" s="4" t="s">
        <v>20</v>
      </c>
      <c r="I51" s="4"/>
      <c r="J51" s="4"/>
      <c r="K51" s="4"/>
      <c r="L51" s="4"/>
    </row>
    <row r="52" spans="3:12" ht="18" x14ac:dyDescent="0.3">
      <c r="C52" s="2" t="s">
        <v>7</v>
      </c>
      <c r="D52" s="2" t="s">
        <v>9</v>
      </c>
      <c r="E52" s="2" t="s">
        <v>12</v>
      </c>
      <c r="F52" s="2" t="str">
        <f t="shared" si="2"/>
        <v>M</v>
      </c>
      <c r="H52" s="4"/>
      <c r="I52" s="4"/>
      <c r="J52" s="4"/>
      <c r="K52" s="4"/>
      <c r="L52" s="4"/>
    </row>
    <row r="53" spans="3:12" ht="18" x14ac:dyDescent="0.3">
      <c r="C53" s="2" t="s">
        <v>4</v>
      </c>
      <c r="D53" s="2" t="s">
        <v>13</v>
      </c>
      <c r="E53" s="2" t="s">
        <v>14</v>
      </c>
      <c r="F53" s="2" t="str">
        <f t="shared" si="2"/>
        <v>lph</v>
      </c>
    </row>
    <row r="54" spans="3:12" ht="18" x14ac:dyDescent="0.3">
      <c r="C54" s="2" t="s">
        <v>7</v>
      </c>
      <c r="D54" s="2" t="s">
        <v>13</v>
      </c>
      <c r="E54" s="2" t="s">
        <v>15</v>
      </c>
      <c r="F54" s="2" t="str">
        <f t="shared" si="2"/>
        <v>vi'</v>
      </c>
    </row>
    <row r="55" spans="3:12" ht="18" x14ac:dyDescent="0.3">
      <c r="C55" s="2" t="s">
        <v>4</v>
      </c>
      <c r="D55" s="2" t="s">
        <v>5</v>
      </c>
      <c r="E55" s="2" t="s">
        <v>16</v>
      </c>
      <c r="F55" s="2" t="str">
        <f t="shared" si="2"/>
        <v>ega</v>
      </c>
    </row>
    <row r="56" spans="3:12" ht="18" x14ac:dyDescent="0.3">
      <c r="C56" s="2" t="s">
        <v>7</v>
      </c>
      <c r="D56" s="2" t="s">
        <v>9</v>
      </c>
      <c r="E56" s="2" t="s">
        <v>17</v>
      </c>
      <c r="F56" s="2" t="str">
        <f t="shared" si="2"/>
        <v>der</v>
      </c>
    </row>
    <row r="57" spans="3:12" ht="18" x14ac:dyDescent="0.3">
      <c r="C57" s="2" t="s">
        <v>7</v>
      </c>
      <c r="D57" s="2" t="s">
        <v>13</v>
      </c>
      <c r="E57" s="2" t="s">
        <v>18</v>
      </c>
      <c r="F57" s="2" t="str">
        <f t="shared" si="2"/>
        <v>cha</v>
      </c>
    </row>
  </sheetData>
  <mergeCells count="3">
    <mergeCell ref="H10:L11"/>
    <mergeCell ref="H31:L32"/>
    <mergeCell ref="H51:L5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70452-B447-4A1B-AB56-B16A698DBB1B}">
  <sheetPr codeName="Sheet23"/>
  <dimension ref="C6:L55"/>
  <sheetViews>
    <sheetView showGridLines="0" topLeftCell="A41" zoomScale="120" zoomScaleNormal="120" workbookViewId="0">
      <selection activeCell="F48" sqref="F48:F55"/>
    </sheetView>
  </sheetViews>
  <sheetFormatPr defaultRowHeight="14.4" x14ac:dyDescent="0.3"/>
  <cols>
    <col min="3" max="3" width="13.5546875" bestFit="1" customWidth="1"/>
    <col min="4" max="4" width="12.44140625" bestFit="1" customWidth="1"/>
    <col min="5" max="5" width="20.33203125" bestFit="1" customWidth="1"/>
    <col min="6" max="6" width="28.109375" bestFit="1" customWidth="1"/>
  </cols>
  <sheetData>
    <row r="6" spans="3:12" ht="18" x14ac:dyDescent="0.35">
      <c r="C6" s="1" t="s">
        <v>0</v>
      </c>
      <c r="D6" s="1" t="s">
        <v>1</v>
      </c>
      <c r="E6" s="1" t="s">
        <v>2</v>
      </c>
      <c r="F6" s="1" t="s">
        <v>3</v>
      </c>
    </row>
    <row r="7" spans="3:12" ht="18" x14ac:dyDescent="0.3">
      <c r="C7" s="2" t="s">
        <v>4</v>
      </c>
      <c r="D7" s="2" t="s">
        <v>5</v>
      </c>
      <c r="E7" s="2" t="s">
        <v>6</v>
      </c>
      <c r="F7" s="2" t="str">
        <f>UPPER(E7)</f>
        <v>LOUIS VUITTON</v>
      </c>
    </row>
    <row r="8" spans="3:12" ht="18" x14ac:dyDescent="0.3">
      <c r="C8" s="2" t="s">
        <v>7</v>
      </c>
      <c r="D8" s="2" t="s">
        <v>5</v>
      </c>
      <c r="E8" s="2" t="s">
        <v>8</v>
      </c>
      <c r="F8" s="2" t="str">
        <f t="shared" ref="F8:F15" si="0">UPPER(E8)</f>
        <v>BURBERRY</v>
      </c>
    </row>
    <row r="9" spans="3:12" ht="18.75" customHeight="1" x14ac:dyDescent="0.3">
      <c r="C9" s="2" t="s">
        <v>4</v>
      </c>
      <c r="D9" s="2" t="s">
        <v>9</v>
      </c>
      <c r="E9" s="2" t="s">
        <v>10</v>
      </c>
      <c r="F9" s="2" t="str">
        <f t="shared" si="0"/>
        <v>CHANEL</v>
      </c>
      <c r="H9" s="4" t="s">
        <v>23</v>
      </c>
      <c r="I9" s="4"/>
      <c r="J9" s="4"/>
      <c r="K9" s="4"/>
      <c r="L9" s="4"/>
    </row>
    <row r="10" spans="3:12" ht="18" x14ac:dyDescent="0.3">
      <c r="C10" s="2" t="s">
        <v>7</v>
      </c>
      <c r="D10" s="2" t="s">
        <v>9</v>
      </c>
      <c r="E10" s="2" t="s">
        <v>12</v>
      </c>
      <c r="F10" s="2" t="str">
        <f t="shared" si="0"/>
        <v>H&amp;M</v>
      </c>
      <c r="H10" s="4"/>
      <c r="I10" s="4"/>
      <c r="J10" s="4"/>
      <c r="K10" s="4"/>
      <c r="L10" s="4"/>
    </row>
    <row r="11" spans="3:12" ht="18" x14ac:dyDescent="0.3">
      <c r="C11" s="2" t="s">
        <v>4</v>
      </c>
      <c r="D11" s="2" t="s">
        <v>13</v>
      </c>
      <c r="E11" s="2" t="s">
        <v>14</v>
      </c>
      <c r="F11" s="2" t="str">
        <f t="shared" si="0"/>
        <v>RALPH LAUREN</v>
      </c>
    </row>
    <row r="12" spans="3:12" ht="18" x14ac:dyDescent="0.3">
      <c r="C12" s="2" t="s">
        <v>7</v>
      </c>
      <c r="D12" s="2" t="s">
        <v>13</v>
      </c>
      <c r="E12" s="2" t="s">
        <v>15</v>
      </c>
      <c r="F12" s="2" t="str">
        <f t="shared" si="0"/>
        <v>LEVI'S</v>
      </c>
    </row>
    <row r="13" spans="3:12" ht="18" x14ac:dyDescent="0.3">
      <c r="C13" s="2" t="s">
        <v>4</v>
      </c>
      <c r="D13" s="2" t="s">
        <v>5</v>
      </c>
      <c r="E13" s="2" t="s">
        <v>16</v>
      </c>
      <c r="F13" s="2" t="str">
        <f t="shared" si="0"/>
        <v>OMEGA</v>
      </c>
    </row>
    <row r="14" spans="3:12" ht="18" x14ac:dyDescent="0.3">
      <c r="C14" s="2" t="s">
        <v>7</v>
      </c>
      <c r="D14" s="2" t="s">
        <v>9</v>
      </c>
      <c r="E14" s="2" t="s">
        <v>17</v>
      </c>
      <c r="F14" s="2" t="str">
        <f t="shared" si="0"/>
        <v>UNDER ARMOUR</v>
      </c>
    </row>
    <row r="15" spans="3:12" ht="18" x14ac:dyDescent="0.3">
      <c r="C15" s="2" t="s">
        <v>7</v>
      </c>
      <c r="D15" s="2" t="s">
        <v>13</v>
      </c>
      <c r="E15" s="2" t="s">
        <v>18</v>
      </c>
      <c r="F15" s="2" t="str">
        <f t="shared" si="0"/>
        <v>MICHAEL KORS</v>
      </c>
    </row>
    <row r="24" spans="3:12" ht="18" x14ac:dyDescent="0.35">
      <c r="C24" s="1" t="s">
        <v>0</v>
      </c>
      <c r="D24" s="1" t="s">
        <v>1</v>
      </c>
      <c r="E24" s="1" t="s">
        <v>2</v>
      </c>
      <c r="F24" s="1" t="s">
        <v>3</v>
      </c>
    </row>
    <row r="25" spans="3:12" ht="18" x14ac:dyDescent="0.3">
      <c r="C25" s="2" t="s">
        <v>4</v>
      </c>
      <c r="D25" s="2" t="s">
        <v>5</v>
      </c>
      <c r="E25" s="2" t="s">
        <v>24</v>
      </c>
      <c r="F25" s="2" t="str">
        <f>LOWER(E25)</f>
        <v>louis vuitton</v>
      </c>
    </row>
    <row r="26" spans="3:12" ht="18" x14ac:dyDescent="0.3">
      <c r="C26" s="2" t="s">
        <v>7</v>
      </c>
      <c r="D26" s="2" t="s">
        <v>5</v>
      </c>
      <c r="E26" s="2" t="s">
        <v>25</v>
      </c>
      <c r="F26" s="2" t="str">
        <f t="shared" ref="F26:F33" si="1">LOWER(E26)</f>
        <v>burberry</v>
      </c>
    </row>
    <row r="27" spans="3:12" ht="18.75" customHeight="1" x14ac:dyDescent="0.3">
      <c r="C27" s="2" t="s">
        <v>4</v>
      </c>
      <c r="D27" s="2" t="s">
        <v>9</v>
      </c>
      <c r="E27" s="2" t="s">
        <v>26</v>
      </c>
      <c r="F27" s="2" t="str">
        <f t="shared" si="1"/>
        <v>chanel</v>
      </c>
      <c r="H27" s="4" t="s">
        <v>27</v>
      </c>
      <c r="I27" s="4"/>
      <c r="J27" s="4"/>
      <c r="K27" s="4"/>
      <c r="L27" s="4"/>
    </row>
    <row r="28" spans="3:12" ht="18" x14ac:dyDescent="0.3">
      <c r="C28" s="2" t="s">
        <v>7</v>
      </c>
      <c r="D28" s="2" t="s">
        <v>9</v>
      </c>
      <c r="E28" s="2" t="s">
        <v>12</v>
      </c>
      <c r="F28" s="2" t="str">
        <f t="shared" si="1"/>
        <v>h&amp;m</v>
      </c>
      <c r="H28" s="4"/>
      <c r="I28" s="4"/>
      <c r="J28" s="4"/>
      <c r="K28" s="4"/>
      <c r="L28" s="4"/>
    </row>
    <row r="29" spans="3:12" ht="18" x14ac:dyDescent="0.3">
      <c r="C29" s="2" t="s">
        <v>4</v>
      </c>
      <c r="D29" s="2" t="s">
        <v>13</v>
      </c>
      <c r="E29" s="2" t="s">
        <v>28</v>
      </c>
      <c r="F29" s="2" t="str">
        <f t="shared" si="1"/>
        <v>ralph lauren</v>
      </c>
    </row>
    <row r="30" spans="3:12" ht="18" x14ac:dyDescent="0.3">
      <c r="C30" s="2" t="s">
        <v>7</v>
      </c>
      <c r="D30" s="2" t="s">
        <v>13</v>
      </c>
      <c r="E30" s="2" t="s">
        <v>29</v>
      </c>
      <c r="F30" s="2" t="str">
        <f t="shared" si="1"/>
        <v>levi's</v>
      </c>
    </row>
    <row r="31" spans="3:12" ht="18" x14ac:dyDescent="0.3">
      <c r="C31" s="2" t="s">
        <v>4</v>
      </c>
      <c r="D31" s="2" t="s">
        <v>5</v>
      </c>
      <c r="E31" s="2" t="s">
        <v>30</v>
      </c>
      <c r="F31" s="2" t="str">
        <f t="shared" si="1"/>
        <v>omega</v>
      </c>
    </row>
    <row r="32" spans="3:12" ht="18" x14ac:dyDescent="0.3">
      <c r="C32" s="2" t="s">
        <v>7</v>
      </c>
      <c r="D32" s="2" t="s">
        <v>9</v>
      </c>
      <c r="E32" s="2" t="s">
        <v>31</v>
      </c>
      <c r="F32" s="2" t="str">
        <f t="shared" si="1"/>
        <v>under armour</v>
      </c>
    </row>
    <row r="33" spans="3:6" ht="18" x14ac:dyDescent="0.3">
      <c r="C33" s="2" t="s">
        <v>7</v>
      </c>
      <c r="D33" s="2" t="s">
        <v>13</v>
      </c>
      <c r="E33" s="2" t="s">
        <v>32</v>
      </c>
      <c r="F33" s="2" t="str">
        <f t="shared" si="1"/>
        <v>michael kors</v>
      </c>
    </row>
    <row r="46" spans="3:6" ht="18" x14ac:dyDescent="0.35">
      <c r="C46" s="1" t="s">
        <v>0</v>
      </c>
      <c r="D46" s="1" t="s">
        <v>1</v>
      </c>
      <c r="E46" s="1" t="s">
        <v>2</v>
      </c>
      <c r="F46" s="1" t="s">
        <v>3</v>
      </c>
    </row>
    <row r="47" spans="3:6" ht="18" x14ac:dyDescent="0.3">
      <c r="C47" s="2" t="s">
        <v>4</v>
      </c>
      <c r="D47" s="2" t="s">
        <v>5</v>
      </c>
      <c r="E47" s="2" t="s">
        <v>24</v>
      </c>
      <c r="F47" s="2" t="str">
        <f>PROPER(E47)</f>
        <v>Louis Vuitton</v>
      </c>
    </row>
    <row r="48" spans="3:6" ht="18" x14ac:dyDescent="0.3">
      <c r="C48" s="2" t="s">
        <v>7</v>
      </c>
      <c r="D48" s="2" t="s">
        <v>5</v>
      </c>
      <c r="E48" s="2" t="s">
        <v>25</v>
      </c>
      <c r="F48" s="2" t="str">
        <f t="shared" ref="F48:F55" si="2">PROPER(E48)</f>
        <v>Burberry</v>
      </c>
    </row>
    <row r="49" spans="3:12" ht="18.75" customHeight="1" x14ac:dyDescent="0.3">
      <c r="C49" s="2" t="s">
        <v>4</v>
      </c>
      <c r="D49" s="2" t="s">
        <v>9</v>
      </c>
      <c r="E49" s="2" t="s">
        <v>26</v>
      </c>
      <c r="F49" s="2" t="str">
        <f t="shared" si="2"/>
        <v>Chanel</v>
      </c>
      <c r="H49" s="4" t="s">
        <v>33</v>
      </c>
      <c r="I49" s="4"/>
      <c r="J49" s="4"/>
      <c r="K49" s="4"/>
      <c r="L49" s="4"/>
    </row>
    <row r="50" spans="3:12" ht="18" x14ac:dyDescent="0.3">
      <c r="C50" s="2" t="s">
        <v>7</v>
      </c>
      <c r="D50" s="2" t="s">
        <v>9</v>
      </c>
      <c r="E50" s="2" t="s">
        <v>12</v>
      </c>
      <c r="F50" s="2" t="str">
        <f t="shared" si="2"/>
        <v>H&amp;M</v>
      </c>
      <c r="H50" s="4"/>
      <c r="I50" s="4"/>
      <c r="J50" s="4"/>
      <c r="K50" s="4"/>
      <c r="L50" s="4"/>
    </row>
    <row r="51" spans="3:12" ht="18" x14ac:dyDescent="0.3">
      <c r="C51" s="2" t="s">
        <v>4</v>
      </c>
      <c r="D51" s="2" t="s">
        <v>13</v>
      </c>
      <c r="E51" s="2" t="s">
        <v>28</v>
      </c>
      <c r="F51" s="2" t="str">
        <f t="shared" si="2"/>
        <v>Ralph Lauren</v>
      </c>
    </row>
    <row r="52" spans="3:12" ht="18" x14ac:dyDescent="0.3">
      <c r="C52" s="2" t="s">
        <v>7</v>
      </c>
      <c r="D52" s="2" t="s">
        <v>13</v>
      </c>
      <c r="E52" s="2" t="s">
        <v>29</v>
      </c>
      <c r="F52" s="2" t="str">
        <f t="shared" si="2"/>
        <v>Levi'S</v>
      </c>
    </row>
    <row r="53" spans="3:12" ht="18" x14ac:dyDescent="0.3">
      <c r="C53" s="2" t="s">
        <v>4</v>
      </c>
      <c r="D53" s="2" t="s">
        <v>5</v>
      </c>
      <c r="E53" s="2" t="s">
        <v>30</v>
      </c>
      <c r="F53" s="2" t="str">
        <f t="shared" si="2"/>
        <v>Omega</v>
      </c>
    </row>
    <row r="54" spans="3:12" ht="18" x14ac:dyDescent="0.3">
      <c r="C54" s="2" t="s">
        <v>7</v>
      </c>
      <c r="D54" s="2" t="s">
        <v>9</v>
      </c>
      <c r="E54" s="2" t="s">
        <v>31</v>
      </c>
      <c r="F54" s="2" t="str">
        <f t="shared" si="2"/>
        <v>Under Armour</v>
      </c>
    </row>
    <row r="55" spans="3:12" ht="18" x14ac:dyDescent="0.3">
      <c r="C55" s="2" t="s">
        <v>7</v>
      </c>
      <c r="D55" s="2" t="s">
        <v>13</v>
      </c>
      <c r="E55" s="2" t="s">
        <v>32</v>
      </c>
      <c r="F55" s="2" t="str">
        <f t="shared" si="2"/>
        <v>Michael Kors</v>
      </c>
    </row>
  </sheetData>
  <mergeCells count="3">
    <mergeCell ref="H9:L10"/>
    <mergeCell ref="H27:L28"/>
    <mergeCell ref="H49:L50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7C690-0E24-480E-BE1E-27281804989E}">
  <sheetPr codeName="Sheet22"/>
  <dimension ref="C6:L56"/>
  <sheetViews>
    <sheetView showGridLines="0" tabSelected="1" topLeftCell="A37" zoomScale="120" zoomScaleNormal="120" workbookViewId="0">
      <selection activeCell="G47" sqref="G47"/>
    </sheetView>
  </sheetViews>
  <sheetFormatPr defaultRowHeight="14.4" x14ac:dyDescent="0.3"/>
  <cols>
    <col min="3" max="3" width="13.5546875" bestFit="1" customWidth="1"/>
    <col min="4" max="4" width="12.44140625" bestFit="1" customWidth="1"/>
    <col min="5" max="5" width="17.5546875" bestFit="1" customWidth="1"/>
    <col min="6" max="6" width="28.109375" bestFit="1" customWidth="1"/>
  </cols>
  <sheetData>
    <row r="6" spans="3:12" ht="18" x14ac:dyDescent="0.35">
      <c r="C6" s="1" t="s">
        <v>0</v>
      </c>
      <c r="D6" s="1" t="s">
        <v>1</v>
      </c>
      <c r="E6" s="1" t="s">
        <v>2</v>
      </c>
      <c r="F6" s="1" t="s">
        <v>3</v>
      </c>
    </row>
    <row r="7" spans="3:12" ht="18" x14ac:dyDescent="0.3">
      <c r="C7" s="2" t="s">
        <v>4</v>
      </c>
      <c r="D7" s="2" t="s">
        <v>13</v>
      </c>
      <c r="E7" s="2" t="s">
        <v>6</v>
      </c>
      <c r="F7" s="3" t="str">
        <f>_xlfn.CONCAT(C7,D7,E7)</f>
        <v>ShirtLLouis Vuitton</v>
      </c>
    </row>
    <row r="8" spans="3:12" ht="18" x14ac:dyDescent="0.3">
      <c r="C8" s="2" t="s">
        <v>7</v>
      </c>
      <c r="D8" s="2" t="s">
        <v>5</v>
      </c>
      <c r="E8" s="2" t="s">
        <v>8</v>
      </c>
      <c r="F8" s="3" t="str">
        <f t="shared" ref="F8:F15" si="0">_xlfn.CONCAT(C8,D8,E8)</f>
        <v>PantsSBurberry</v>
      </c>
    </row>
    <row r="9" spans="3:12" ht="18.75" customHeight="1" x14ac:dyDescent="0.3">
      <c r="C9" s="2" t="s">
        <v>4</v>
      </c>
      <c r="D9" s="2" t="s">
        <v>9</v>
      </c>
      <c r="E9" s="2" t="s">
        <v>10</v>
      </c>
      <c r="F9" s="3" t="str">
        <f t="shared" si="0"/>
        <v>ShirtMChanel</v>
      </c>
      <c r="H9" s="4" t="s">
        <v>21</v>
      </c>
      <c r="I9" s="4"/>
      <c r="J9" s="4"/>
      <c r="K9" s="4"/>
      <c r="L9" s="4"/>
    </row>
    <row r="10" spans="3:12" ht="18" x14ac:dyDescent="0.3">
      <c r="C10" s="2" t="s">
        <v>7</v>
      </c>
      <c r="D10" s="2" t="s">
        <v>9</v>
      </c>
      <c r="E10" s="2" t="s">
        <v>12</v>
      </c>
      <c r="F10" s="3" t="str">
        <f t="shared" si="0"/>
        <v>PantsMH&amp;M</v>
      </c>
      <c r="H10" s="4"/>
      <c r="I10" s="4"/>
      <c r="J10" s="4"/>
      <c r="K10" s="4"/>
      <c r="L10" s="4"/>
    </row>
    <row r="11" spans="3:12" ht="18" x14ac:dyDescent="0.3">
      <c r="C11" s="2" t="s">
        <v>4</v>
      </c>
      <c r="D11" s="2" t="s">
        <v>13</v>
      </c>
      <c r="E11" s="2" t="s">
        <v>14</v>
      </c>
      <c r="F11" s="3" t="str">
        <f t="shared" si="0"/>
        <v>ShirtLRalph Lauren</v>
      </c>
    </row>
    <row r="12" spans="3:12" ht="18" x14ac:dyDescent="0.3">
      <c r="C12" s="2" t="s">
        <v>7</v>
      </c>
      <c r="D12" s="2" t="s">
        <v>13</v>
      </c>
      <c r="E12" s="2" t="s">
        <v>15</v>
      </c>
      <c r="F12" s="3" t="str">
        <f t="shared" si="0"/>
        <v>PantsLLevi's</v>
      </c>
    </row>
    <row r="13" spans="3:12" ht="18" x14ac:dyDescent="0.3">
      <c r="C13" s="2" t="s">
        <v>4</v>
      </c>
      <c r="D13" s="2" t="s">
        <v>5</v>
      </c>
      <c r="E13" s="2" t="s">
        <v>16</v>
      </c>
      <c r="F13" s="3" t="str">
        <f t="shared" si="0"/>
        <v>ShirtSOmega</v>
      </c>
    </row>
    <row r="14" spans="3:12" ht="18" x14ac:dyDescent="0.3">
      <c r="C14" s="2" t="s">
        <v>7</v>
      </c>
      <c r="D14" s="2" t="s">
        <v>9</v>
      </c>
      <c r="E14" s="2" t="s">
        <v>17</v>
      </c>
      <c r="F14" s="3" t="str">
        <f t="shared" si="0"/>
        <v>PantsMUnder Armour</v>
      </c>
    </row>
    <row r="15" spans="3:12" ht="18" x14ac:dyDescent="0.3">
      <c r="C15" s="2" t="s">
        <v>7</v>
      </c>
      <c r="D15" s="2" t="s">
        <v>13</v>
      </c>
      <c r="E15" s="2" t="s">
        <v>18</v>
      </c>
      <c r="F15" s="3" t="str">
        <f t="shared" si="0"/>
        <v>PantsLMichael Kors</v>
      </c>
    </row>
    <row r="25" spans="3:12" ht="18" x14ac:dyDescent="0.35">
      <c r="C25" s="1" t="s">
        <v>0</v>
      </c>
      <c r="D25" s="1" t="s">
        <v>1</v>
      </c>
      <c r="E25" s="1" t="s">
        <v>2</v>
      </c>
      <c r="F25" s="1" t="s">
        <v>3</v>
      </c>
    </row>
    <row r="26" spans="3:12" ht="18" x14ac:dyDescent="0.3">
      <c r="C26" s="2" t="s">
        <v>4</v>
      </c>
      <c r="D26" s="2" t="s">
        <v>5</v>
      </c>
      <c r="E26" s="2" t="s">
        <v>6</v>
      </c>
      <c r="F26" s="3" t="str">
        <f>_xlfn.TEXTJOIN("-",TRUE, C26, D26, E26)</f>
        <v>Shirt-S-Louis Vuitton</v>
      </c>
    </row>
    <row r="27" spans="3:12" ht="18" x14ac:dyDescent="0.3">
      <c r="C27" s="2" t="s">
        <v>7</v>
      </c>
      <c r="D27" s="2" t="s">
        <v>5</v>
      </c>
      <c r="E27" s="2" t="s">
        <v>8</v>
      </c>
      <c r="F27" s="3" t="str">
        <f t="shared" ref="F27:F34" si="1">_xlfn.TEXTJOIN("-",TRUE, C27, D27, E27)</f>
        <v>Pants-S-Burberry</v>
      </c>
    </row>
    <row r="28" spans="3:12" ht="18.75" customHeight="1" x14ac:dyDescent="0.3">
      <c r="C28" s="2" t="s">
        <v>4</v>
      </c>
      <c r="D28" s="2" t="s">
        <v>9</v>
      </c>
      <c r="E28" s="2" t="s">
        <v>10</v>
      </c>
      <c r="F28" s="3" t="str">
        <f t="shared" si="1"/>
        <v>Shirt-M-Chanel</v>
      </c>
      <c r="H28" s="4" t="s">
        <v>22</v>
      </c>
      <c r="I28" s="4"/>
      <c r="J28" s="4"/>
      <c r="K28" s="4"/>
      <c r="L28" s="4"/>
    </row>
    <row r="29" spans="3:12" ht="18" x14ac:dyDescent="0.3">
      <c r="C29" s="2" t="s">
        <v>7</v>
      </c>
      <c r="D29" s="2" t="s">
        <v>9</v>
      </c>
      <c r="E29" s="2" t="s">
        <v>12</v>
      </c>
      <c r="F29" s="3" t="str">
        <f t="shared" si="1"/>
        <v>Pants-M-H&amp;M</v>
      </c>
      <c r="H29" s="4"/>
      <c r="I29" s="4"/>
      <c r="J29" s="4"/>
      <c r="K29" s="4"/>
      <c r="L29" s="4"/>
    </row>
    <row r="30" spans="3:12" ht="18" x14ac:dyDescent="0.3">
      <c r="C30" s="2" t="s">
        <v>4</v>
      </c>
      <c r="D30" s="2" t="s">
        <v>13</v>
      </c>
      <c r="E30" s="2" t="s">
        <v>14</v>
      </c>
      <c r="F30" s="3" t="str">
        <f t="shared" si="1"/>
        <v>Shirt-L-Ralph Lauren</v>
      </c>
    </row>
    <row r="31" spans="3:12" ht="18" x14ac:dyDescent="0.3">
      <c r="C31" s="2" t="s">
        <v>7</v>
      </c>
      <c r="D31" s="2" t="s">
        <v>13</v>
      </c>
      <c r="E31" s="2" t="s">
        <v>15</v>
      </c>
      <c r="F31" s="3" t="str">
        <f t="shared" si="1"/>
        <v>Pants-L-Levi's</v>
      </c>
    </row>
    <row r="32" spans="3:12" ht="18" x14ac:dyDescent="0.3">
      <c r="C32" s="2" t="s">
        <v>4</v>
      </c>
      <c r="D32" s="2" t="s">
        <v>5</v>
      </c>
      <c r="E32" s="2" t="s">
        <v>16</v>
      </c>
      <c r="F32" s="3" t="str">
        <f t="shared" si="1"/>
        <v>Shirt-S-Omega</v>
      </c>
    </row>
    <row r="33" spans="3:6" ht="18" x14ac:dyDescent="0.3">
      <c r="C33" s="2" t="s">
        <v>7</v>
      </c>
      <c r="D33" s="2" t="s">
        <v>9</v>
      </c>
      <c r="E33" s="2" t="s">
        <v>17</v>
      </c>
      <c r="F33" s="3" t="str">
        <f t="shared" si="1"/>
        <v>Pants-M-Under Armour</v>
      </c>
    </row>
    <row r="34" spans="3:6" ht="18" x14ac:dyDescent="0.3">
      <c r="C34" s="2" t="s">
        <v>7</v>
      </c>
      <c r="D34" s="2" t="s">
        <v>13</v>
      </c>
      <c r="E34" s="2" t="s">
        <v>18</v>
      </c>
      <c r="F34" s="3" t="str">
        <f t="shared" si="1"/>
        <v>Pants-L-Michael Kors</v>
      </c>
    </row>
    <row r="47" spans="3:6" ht="18" x14ac:dyDescent="0.35">
      <c r="C47" s="1" t="s">
        <v>0</v>
      </c>
      <c r="D47" s="1" t="s">
        <v>1</v>
      </c>
      <c r="E47" s="1" t="s">
        <v>2</v>
      </c>
      <c r="F47" s="1" t="s">
        <v>3</v>
      </c>
    </row>
    <row r="48" spans="3:6" ht="18" x14ac:dyDescent="0.3">
      <c r="C48" s="2" t="s">
        <v>4</v>
      </c>
      <c r="D48" s="2" t="s">
        <v>5</v>
      </c>
      <c r="E48" s="2" t="s">
        <v>6</v>
      </c>
      <c r="F48" s="3" t="str">
        <f>_xlfn.TEXTJOIN("-",TRUE,C48,D48,E48)</f>
        <v>Shirt-S-Louis Vuitton</v>
      </c>
    </row>
    <row r="49" spans="3:12" ht="18" x14ac:dyDescent="0.3">
      <c r="C49" s="2" t="s">
        <v>7</v>
      </c>
      <c r="D49" s="2" t="s">
        <v>5</v>
      </c>
      <c r="E49" s="2" t="s">
        <v>8</v>
      </c>
      <c r="F49" s="3" t="str">
        <f t="shared" ref="F49:F56" si="2">_xlfn.TEXTJOIN("-",TRUE,C49,D49,E49)</f>
        <v>Pants-S-Burberry</v>
      </c>
    </row>
    <row r="50" spans="3:12" ht="18.75" customHeight="1" x14ac:dyDescent="0.3">
      <c r="C50" s="2" t="s">
        <v>4</v>
      </c>
      <c r="D50" s="2" t="s">
        <v>9</v>
      </c>
      <c r="E50" s="2" t="s">
        <v>10</v>
      </c>
      <c r="F50" s="3" t="str">
        <f t="shared" si="2"/>
        <v>Shirt-M-Chanel</v>
      </c>
      <c r="H50" s="4" t="s">
        <v>22</v>
      </c>
      <c r="I50" s="4"/>
      <c r="J50" s="4"/>
      <c r="K50" s="4"/>
      <c r="L50" s="4"/>
    </row>
    <row r="51" spans="3:12" ht="18" x14ac:dyDescent="0.3">
      <c r="C51" s="2" t="s">
        <v>7</v>
      </c>
      <c r="D51" s="2" t="s">
        <v>9</v>
      </c>
      <c r="E51" s="2" t="s">
        <v>12</v>
      </c>
      <c r="F51" s="3" t="str">
        <f t="shared" si="2"/>
        <v>Pants-M-H&amp;M</v>
      </c>
      <c r="H51" s="4"/>
      <c r="I51" s="4"/>
      <c r="J51" s="4"/>
      <c r="K51" s="4"/>
      <c r="L51" s="4"/>
    </row>
    <row r="52" spans="3:12" ht="18" x14ac:dyDescent="0.3">
      <c r="C52" s="2" t="s">
        <v>4</v>
      </c>
      <c r="D52" s="2" t="s">
        <v>13</v>
      </c>
      <c r="E52" s="2" t="s">
        <v>14</v>
      </c>
      <c r="F52" s="3" t="str">
        <f t="shared" si="2"/>
        <v>Shirt-L-Ralph Lauren</v>
      </c>
    </row>
    <row r="53" spans="3:12" ht="18" x14ac:dyDescent="0.3">
      <c r="C53" s="2" t="s">
        <v>7</v>
      </c>
      <c r="D53" s="2" t="s">
        <v>13</v>
      </c>
      <c r="E53" s="2" t="s">
        <v>15</v>
      </c>
      <c r="F53" s="3" t="str">
        <f t="shared" si="2"/>
        <v>Pants-L-Levi's</v>
      </c>
    </row>
    <row r="54" spans="3:12" ht="18" x14ac:dyDescent="0.3">
      <c r="C54" s="2" t="s">
        <v>4</v>
      </c>
      <c r="D54" s="2" t="s">
        <v>5</v>
      </c>
      <c r="E54" s="2" t="s">
        <v>16</v>
      </c>
      <c r="F54" s="3" t="str">
        <f t="shared" si="2"/>
        <v>Shirt-S-Omega</v>
      </c>
    </row>
    <row r="55" spans="3:12" ht="18" x14ac:dyDescent="0.3">
      <c r="C55" s="2" t="s">
        <v>7</v>
      </c>
      <c r="D55" s="2" t="s">
        <v>9</v>
      </c>
      <c r="E55" s="2" t="s">
        <v>17</v>
      </c>
      <c r="F55" s="3" t="str">
        <f t="shared" si="2"/>
        <v>Pants-M-Under Armour</v>
      </c>
    </row>
    <row r="56" spans="3:12" ht="18" x14ac:dyDescent="0.3">
      <c r="C56" s="2" t="s">
        <v>7</v>
      </c>
      <c r="D56" s="2" t="s">
        <v>13</v>
      </c>
      <c r="E56" s="2" t="s">
        <v>18</v>
      </c>
      <c r="F56" s="3" t="str">
        <f t="shared" si="2"/>
        <v>Pants-L-Michael Kors</v>
      </c>
    </row>
  </sheetData>
  <mergeCells count="3">
    <mergeCell ref="H9:L10"/>
    <mergeCell ref="H28:L29"/>
    <mergeCell ref="H50:L5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LEFT, RIGHT &amp; MID</vt:lpstr>
      <vt:lpstr>UPPER, LOWER &amp; PROPER</vt:lpstr>
      <vt:lpstr>CONCAT &amp; TEXTJOIN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</dc:creator>
  <cp:lastModifiedBy>Rupan Bhattacharya</cp:lastModifiedBy>
  <dcterms:created xsi:type="dcterms:W3CDTF">2023-07-27T08:20:02Z</dcterms:created>
  <dcterms:modified xsi:type="dcterms:W3CDTF">2025-10-05T08:34:16Z</dcterms:modified>
</cp:coreProperties>
</file>